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umni-my.sharepoint.com/personal/swm909_ku_dk/Documents/Desktop/projects/nivolumab/raw/"/>
    </mc:Choice>
  </mc:AlternateContent>
  <xr:revisionPtr revIDLastSave="2" documentId="13_ncr:1_{7A3A637A-6632-7940-AD68-6F76600A5938}" xr6:coauthVersionLast="47" xr6:coauthVersionMax="47" xr10:uidLastSave="{E5285FD3-0F21-3349-A4C6-FB49DA3DD576}"/>
  <bookViews>
    <workbookView xWindow="0" yWindow="500" windowWidth="68800" windowHeight="28300" xr2:uid="{00000000-000D-0000-FFFF-FFFF00000000}"/>
  </bookViews>
  <sheets>
    <sheet name="sampleAnn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9" i="1" l="1"/>
  <c r="H746" i="1"/>
  <c r="H701" i="1"/>
  <c r="H604" i="1"/>
  <c r="H507" i="1"/>
  <c r="H410" i="1"/>
  <c r="H313" i="1"/>
  <c r="H216" i="1"/>
  <c r="B11" i="1"/>
  <c r="B12" i="1"/>
  <c r="B13" i="1"/>
  <c r="B14" i="1"/>
  <c r="B15" i="1"/>
  <c r="B16" i="1"/>
  <c r="B17" i="1"/>
  <c r="B18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</calcChain>
</file>

<file path=xl/sharedStrings.xml><?xml version="1.0" encoding="utf-8"?>
<sst xmlns="http://schemas.openxmlformats.org/spreadsheetml/2006/main" count="8306" uniqueCount="1105">
  <si>
    <t>Experiment Summary</t>
  </si>
  <si>
    <t>Readout group name</t>
  </si>
  <si>
    <t>sarawtaapril23</t>
  </si>
  <si>
    <t>Date</t>
  </si>
  <si>
    <t>16 May 2023  9:06 AM</t>
  </si>
  <si>
    <t>Readout mode</t>
  </si>
  <si>
    <t>NGS</t>
  </si>
  <si>
    <t>Number of Collection Plates</t>
  </si>
  <si>
    <t>Number Of AOIs</t>
  </si>
  <si>
    <t>Library Prep Protocol Version</t>
  </si>
  <si>
    <t>Library Prep Summary</t>
  </si>
  <si>
    <t>Library Prep Plate</t>
  </si>
  <si>
    <t>Collection Plate</t>
  </si>
  <si>
    <t>Primer Plate</t>
  </si>
  <si>
    <t>Rows</t>
  </si>
  <si>
    <t>sarawtaapril23-A</t>
  </si>
  <si>
    <t>GeoMx Seq Code A</t>
  </si>
  <si>
    <t>A - H</t>
  </si>
  <si>
    <t>sarawtaapril23-B</t>
  </si>
  <si>
    <t>GeoMx Seq Code B</t>
  </si>
  <si>
    <t>sarawtaapril23-C</t>
  </si>
  <si>
    <t>GeoMx Seq Code C</t>
  </si>
  <si>
    <t>sarawtaapril23-D</t>
  </si>
  <si>
    <t>GeoMx Seq Code D</t>
  </si>
  <si>
    <t>sarawtaapril23-E</t>
  </si>
  <si>
    <t>GeoMx Seq Code E</t>
  </si>
  <si>
    <t>sarawtaapril23-F</t>
  </si>
  <si>
    <t>GeoMx Seq Code F</t>
  </si>
  <si>
    <t>sarawtaapril23-G</t>
  </si>
  <si>
    <t>GeoMx Seq Code G</t>
  </si>
  <si>
    <t>sarawtaapril23-H</t>
  </si>
  <si>
    <t>GeoMx Seq Code H</t>
  </si>
  <si>
    <t>A - D</t>
  </si>
  <si>
    <t>Total Area</t>
  </si>
  <si>
    <t>Annotations</t>
  </si>
  <si>
    <t>Sample_ID</t>
  </si>
  <si>
    <t>Slide Name</t>
  </si>
  <si>
    <t>Scan Name</t>
  </si>
  <si>
    <t>Panel</t>
  </si>
  <si>
    <t>Roi</t>
  </si>
  <si>
    <t>Segment</t>
  </si>
  <si>
    <t>Aoi</t>
  </si>
  <si>
    <t>Area</t>
  </si>
  <si>
    <t>Tags</t>
  </si>
  <si>
    <t>Nuclei</t>
  </si>
  <si>
    <t>ROI Coordinate X</t>
  </si>
  <si>
    <t>ROI Coordinate Y</t>
  </si>
  <si>
    <t>Scan Date</t>
  </si>
  <si>
    <t>Scan Width</t>
  </si>
  <si>
    <t>Scan Height</t>
  </si>
  <si>
    <t>Scan Offset X</t>
  </si>
  <si>
    <t>Scan Offset Y</t>
  </si>
  <si>
    <t>(v1.0) Human NGS Whole Transcriptome Atlas RNA</t>
  </si>
  <si>
    <t>DSP-1001660012267-A-A01</t>
  </si>
  <si>
    <t>No Template Control</t>
  </si>
  <si>
    <t>DSP-1001660012267-A-A02</t>
  </si>
  <si>
    <t>SaraWTATMA5</t>
  </si>
  <si>
    <t>Iba1</t>
  </si>
  <si>
    <t>Iba1-aoi-001</t>
  </si>
  <si>
    <t>iba1, gfap, sox2, negativ, iba1</t>
  </si>
  <si>
    <t>66243.5703125</t>
  </si>
  <si>
    <t>27073.37109375</t>
  </si>
  <si>
    <t>2023-04-12T07:25:47</t>
  </si>
  <si>
    <t>31797.379</t>
  </si>
  <si>
    <t>68723.195</t>
  </si>
  <si>
    <t>HWTA21002</t>
  </si>
  <si>
    <t>DSP-1001660012267-A-A03</t>
  </si>
  <si>
    <t>Sox2</t>
  </si>
  <si>
    <t>Sox2-aoi-001</t>
  </si>
  <si>
    <t>iba1, gfap, sox2, negativ, sox2</t>
  </si>
  <si>
    <t>DSP-1001660012267-A-A04</t>
  </si>
  <si>
    <t>GFAP</t>
  </si>
  <si>
    <t>GFAP-aoi-001</t>
  </si>
  <si>
    <t>iba1, gfap, negativ, gfap</t>
  </si>
  <si>
    <t>67790.5234375</t>
  </si>
  <si>
    <t>26301.59375</t>
  </si>
  <si>
    <t>DSP-1001660012267-A-A05</t>
  </si>
  <si>
    <t>66598.8203125</t>
  </si>
  <si>
    <t>21585.03125</t>
  </si>
  <si>
    <t>DSP-1001660012267-A-A06</t>
  </si>
  <si>
    <t>DSP-1001660012267-A-A07</t>
  </si>
  <si>
    <t>20915.978515625</t>
  </si>
  <si>
    <t>DSP-1001660012267-A-A08</t>
  </si>
  <si>
    <t>DSP-1001660012267-A-A09</t>
  </si>
  <si>
    <t>DSP-1001660012267-A-A10</t>
  </si>
  <si>
    <t>DSP-1001660012267-A-A11</t>
  </si>
  <si>
    <t>DSP-1001660012267-A-A12</t>
  </si>
  <si>
    <t>DSP-1001660012267-A-B01</t>
  </si>
  <si>
    <t>DSP-1001660012267-A-B02</t>
  </si>
  <si>
    <t>DSP-1001660012267-A-B03</t>
  </si>
  <si>
    <t>DSP-1001660012267-A-B04</t>
  </si>
  <si>
    <t>62175.59765625</t>
  </si>
  <si>
    <t>28040.064453125</t>
  </si>
  <si>
    <t>DSP-1001660012267-A-B05</t>
  </si>
  <si>
    <t>60975.3359375</t>
  </si>
  <si>
    <t>21629.31640625</t>
  </si>
  <si>
    <t>DSP-1001660012267-A-B06</t>
  </si>
  <si>
    <t>DSP-1001660012267-A-B07</t>
  </si>
  <si>
    <t>60220.76171875</t>
  </si>
  <si>
    <t>20136.345703125</t>
  </si>
  <si>
    <t>DSP-1001660012267-A-B08</t>
  </si>
  <si>
    <t>62723.07421875</t>
  </si>
  <si>
    <t>15260.3623046875</t>
  </si>
  <si>
    <t>DSP-1001660012267-A-B09</t>
  </si>
  <si>
    <t>DSP-1001660012267-A-B10</t>
  </si>
  <si>
    <t>62391.4453125</t>
  </si>
  <si>
    <t>13520.703125</t>
  </si>
  <si>
    <t>DSP-1001660012267-A-B11</t>
  </si>
  <si>
    <t>DSP-1001660012267-A-B12</t>
  </si>
  <si>
    <t>DSP-1001660012267-A-C01</t>
  </si>
  <si>
    <t>DSP-1001660012267-A-C02</t>
  </si>
  <si>
    <t>DSP-1001660012267-A-C03</t>
  </si>
  <si>
    <t>DSP-1001660012267-A-C04</t>
  </si>
  <si>
    <t>iba1, gfap, negativ, iba1</t>
  </si>
  <si>
    <t>DSP-1001660012267-A-C05</t>
  </si>
  <si>
    <t>DSP-1001660012267-A-C06</t>
  </si>
  <si>
    <t>DSP-1001660012267-A-C07</t>
  </si>
  <si>
    <t>DSP-1001660012267-A-C08</t>
  </si>
  <si>
    <t>DSP-1001660012267-A-C09</t>
  </si>
  <si>
    <t>55597.22265625</t>
  </si>
  <si>
    <t>14011.97265625</t>
  </si>
  <si>
    <t>DSP-1001660012267-A-C10</t>
  </si>
  <si>
    <t>DSP-1001660012267-A-C11</t>
  </si>
  <si>
    <t>56717.64453125</t>
  </si>
  <si>
    <t>12780.087890625</t>
  </si>
  <si>
    <t>DSP-1001660012267-A-C12</t>
  </si>
  <si>
    <t>DSP-1001660012267-A-D01</t>
  </si>
  <si>
    <t>57403.171875</t>
  </si>
  <si>
    <t>7406.822265625</t>
  </si>
  <si>
    <t>DSP-1001660012267-A-D02</t>
  </si>
  <si>
    <t>DSP-1001660012267-A-D03</t>
  </si>
  <si>
    <t>55344.44921875</t>
  </si>
  <si>
    <t>6878.8828125</t>
  </si>
  <si>
    <t>DSP-1001660012267-A-D04</t>
  </si>
  <si>
    <t>DSP-1001660012267-A-D05</t>
  </si>
  <si>
    <t>50048.08203125</t>
  </si>
  <si>
    <t>26081.322265625</t>
  </si>
  <si>
    <t>DSP-1001660012267-A-D06</t>
  </si>
  <si>
    <t>DSP-1001660012267-A-D07</t>
  </si>
  <si>
    <t>DSP-1001660012267-A-D08</t>
  </si>
  <si>
    <t>DSP-1001660012267-A-D09</t>
  </si>
  <si>
    <t>DSP-1001660012267-A-D10</t>
  </si>
  <si>
    <t>DSP-1001660012267-A-D11</t>
  </si>
  <si>
    <t>DSP-1001660012267-A-D12</t>
  </si>
  <si>
    <t>DSP-1001660012267-A-E01</t>
  </si>
  <si>
    <t>DSP-1001660012267-A-E02</t>
  </si>
  <si>
    <t>49443.80859375</t>
  </si>
  <si>
    <t>4767.93798828125</t>
  </si>
  <si>
    <t>DSP-1001660012267-A-E03</t>
  </si>
  <si>
    <t>DSP-1001660012267-A-E04</t>
  </si>
  <si>
    <t>51111.61328125</t>
  </si>
  <si>
    <t>4759.818359375</t>
  </si>
  <si>
    <t>DSP-1001660012267-A-E05</t>
  </si>
  <si>
    <t>45169.3828125</t>
  </si>
  <si>
    <t>26444.091796875</t>
  </si>
  <si>
    <t>DSP-1001660012267-A-E06</t>
  </si>
  <si>
    <t>DSP-1001660012267-A-E07</t>
  </si>
  <si>
    <t>43301.9296875</t>
  </si>
  <si>
    <t>28043.2109375</t>
  </si>
  <si>
    <t>DSP-1001660012267-A-E08</t>
  </si>
  <si>
    <t>42442.80859375</t>
  </si>
  <si>
    <t>20263.85546875</t>
  </si>
  <si>
    <t>DSP-1001660012267-A-E09</t>
  </si>
  <si>
    <t>DSP-1001660012267-A-E10</t>
  </si>
  <si>
    <t>43553.72265625</t>
  </si>
  <si>
    <t>21475.046875</t>
  </si>
  <si>
    <t>DSP-1001660012267-A-E11</t>
  </si>
  <si>
    <t>DSP-1001660012267-A-E12</t>
  </si>
  <si>
    <t>DSP-1001660012267-A-F01</t>
  </si>
  <si>
    <t>DSP-1001660012267-A-F02</t>
  </si>
  <si>
    <t>43153.5390625</t>
  </si>
  <si>
    <t>7715.623046875</t>
  </si>
  <si>
    <t>DSP-1001660012267-A-F03</t>
  </si>
  <si>
    <t>DSP-1001660012267-A-F04</t>
  </si>
  <si>
    <t>44952.41015625</t>
  </si>
  <si>
    <t>6706.6455078125</t>
  </si>
  <si>
    <t>DSP-1001660012267-A-F05</t>
  </si>
  <si>
    <t>DSP-1001660012267-A-F06</t>
  </si>
  <si>
    <t>DSP-1001660012267-A-F07</t>
  </si>
  <si>
    <t>DSP-1001660012267-A-F08</t>
  </si>
  <si>
    <t>DSP-1001660012267-A-F09</t>
  </si>
  <si>
    <t>DSP-1001660012267-A-F10</t>
  </si>
  <si>
    <t>37115.16796875</t>
  </si>
  <si>
    <t>19225.84375</t>
  </si>
  <si>
    <t>DSP-1001660012267-A-F11</t>
  </si>
  <si>
    <t>DSP-1001660012267-A-F12</t>
  </si>
  <si>
    <t>38235.58203125</t>
  </si>
  <si>
    <t>20540.498046875</t>
  </si>
  <si>
    <t>DSP-1001660012267-A-G01</t>
  </si>
  <si>
    <t>36091.703125</t>
  </si>
  <si>
    <t>6721.466796875</t>
  </si>
  <si>
    <t>DSP-1001660012267-A-G02</t>
  </si>
  <si>
    <t>DSP-1001660012267-A-G03</t>
  </si>
  <si>
    <t>38709.58203125</t>
  </si>
  <si>
    <t>6836.82080078125</t>
  </si>
  <si>
    <t>DSP-1001660012267-A-G04</t>
  </si>
  <si>
    <t>37446.390625</t>
  </si>
  <si>
    <t>5722.302734375</t>
  </si>
  <si>
    <t>DSP-1001660012267-A-G05</t>
  </si>
  <si>
    <t>DSP-1001660012267-A-G06</t>
  </si>
  <si>
    <t>37354.18359375</t>
  </si>
  <si>
    <t>7791.68994140625</t>
  </si>
  <si>
    <t>DSP-1001660012267-A-G07</t>
  </si>
  <si>
    <t>DSP-1001660012267-A-G08</t>
  </si>
  <si>
    <t>DSP-1001660012267-A-G09</t>
  </si>
  <si>
    <t>DSP-1001660012267-A-G10</t>
  </si>
  <si>
    <t>30263.548828125</t>
  </si>
  <si>
    <t>19996.505859375</t>
  </si>
  <si>
    <t>DSP-1001660012267-A-G11</t>
  </si>
  <si>
    <t>DSP-1001660012267-A-G12</t>
  </si>
  <si>
    <t>31886.3203125</t>
  </si>
  <si>
    <t>19532.037109375</t>
  </si>
  <si>
    <t>DSP-1001660012267-A-H01</t>
  </si>
  <si>
    <t>32764.66015625</t>
  </si>
  <si>
    <t>13277.2861328125</t>
  </si>
  <si>
    <t>DSP-1001660012267-A-H02</t>
  </si>
  <si>
    <t>DSP-1001660012267-A-H03</t>
  </si>
  <si>
    <t>31131.8984375</t>
  </si>
  <si>
    <t>14263.265625</t>
  </si>
  <si>
    <t>DSP-1001660012267-A-H04</t>
  </si>
  <si>
    <t>iba1, sox2, negativ, iba1</t>
  </si>
  <si>
    <t>32869.671875</t>
  </si>
  <si>
    <t>6727.2744140625</t>
  </si>
  <si>
    <t>DSP-1001660012267-A-H05</t>
  </si>
  <si>
    <t>iba1, sox2, negativ, sox2</t>
  </si>
  <si>
    <t>DSP-1001660012267-A-H06</t>
  </si>
  <si>
    <t>31248.5390625</t>
  </si>
  <si>
    <t>7475.8623046875</t>
  </si>
  <si>
    <t>DSP-1001660012267-A-H07</t>
  </si>
  <si>
    <t>24907.34765625</t>
  </si>
  <si>
    <t>25361.62890625</t>
  </si>
  <si>
    <t>DSP-1001660012267-A-H08</t>
  </si>
  <si>
    <t>DSP-1001660012267-A-H09</t>
  </si>
  <si>
    <t>25937.44140625</t>
  </si>
  <si>
    <t>27371.52734375</t>
  </si>
  <si>
    <t>DSP-1001660012267-A-H10</t>
  </si>
  <si>
    <t>25391.521484375</t>
  </si>
  <si>
    <t>18582.234375</t>
  </si>
  <si>
    <t>DSP-1001660012267-A-H11</t>
  </si>
  <si>
    <t>DSP-1001660012267-A-H12</t>
  </si>
  <si>
    <t>25429.31640625</t>
  </si>
  <si>
    <t>20463.5546875</t>
  </si>
  <si>
    <t>DSP-1001660012266-B-A01</t>
  </si>
  <si>
    <t>DSP-1001660012266-B-A02</t>
  </si>
  <si>
    <t>25742.41796875</t>
  </si>
  <si>
    <t>12337.9599609375</t>
  </si>
  <si>
    <t>DSP-1001660012266-B-A03</t>
  </si>
  <si>
    <t>DSP-1001660012266-B-A04</t>
  </si>
  <si>
    <t>26157.376953125</t>
  </si>
  <si>
    <t>13958.3623046875</t>
  </si>
  <si>
    <t>DSP-1001660012266-B-A05</t>
  </si>
  <si>
    <t>24747.505859375</t>
  </si>
  <si>
    <t>6259.0908203125</t>
  </si>
  <si>
    <t>DSP-1001660012266-B-A06</t>
  </si>
  <si>
    <t>DSP-1001660012266-B-A07</t>
  </si>
  <si>
    <t>25606.7109375</t>
  </si>
  <si>
    <t>7731.384765625</t>
  </si>
  <si>
    <t>DSP-1001660012266-B-A08</t>
  </si>
  <si>
    <t>DSP-1001660012266-B-A09</t>
  </si>
  <si>
    <t>DSP-1001660012266-B-A10</t>
  </si>
  <si>
    <t>DSP-1001660012266-B-A11</t>
  </si>
  <si>
    <t>18392.154296875</t>
  </si>
  <si>
    <t>19720.962890625</t>
  </si>
  <si>
    <t>DSP-1001660012266-B-A12</t>
  </si>
  <si>
    <t>DSP-1001660012266-B-B01</t>
  </si>
  <si>
    <t>20137.13671875</t>
  </si>
  <si>
    <t>19498.35546875</t>
  </si>
  <si>
    <t>DSP-1001660012266-B-B02</t>
  </si>
  <si>
    <t>DSP-1001660012266-B-B03</t>
  </si>
  <si>
    <t>DSP-1001660012266-B-B04</t>
  </si>
  <si>
    <t>DSP-1001660012266-B-B05</t>
  </si>
  <si>
    <t>DSP-1001660012266-B-B06</t>
  </si>
  <si>
    <t>DSP-1001660012266-B-B07</t>
  </si>
  <si>
    <t>DSP-1001660012266-B-B08</t>
  </si>
  <si>
    <t>DSP-1001660012266-B-B09</t>
  </si>
  <si>
    <t>DSP-1001660012266-B-B10</t>
  </si>
  <si>
    <t>DSP-1001660012266-B-B11</t>
  </si>
  <si>
    <t>DSP-1001660012266-B-B12</t>
  </si>
  <si>
    <t>DSP-1001660012266-B-C01</t>
  </si>
  <si>
    <t>DSP-1001660012266-B-C02</t>
  </si>
  <si>
    <t>DSP-1001660012266-B-C03</t>
  </si>
  <si>
    <t>DSP-1001660012266-B-C04</t>
  </si>
  <si>
    <t>DSP-1001660012266-B-C05</t>
  </si>
  <si>
    <t>DSP-1001660012266-B-C06</t>
  </si>
  <si>
    <t>DSP-1001660012266-B-C07</t>
  </si>
  <si>
    <t>DSP-1001660012266-B-C08</t>
  </si>
  <si>
    <t>DSP-1001660012266-B-C09</t>
  </si>
  <si>
    <t>DSP-1001660012266-B-C10</t>
  </si>
  <si>
    <t>DSP-1001660012266-B-C11</t>
  </si>
  <si>
    <t>DSP-1001660012266-B-C12</t>
  </si>
  <si>
    <t>SaraWTATMA1</t>
  </si>
  <si>
    <t>iba1, gfap, sox2, iba1</t>
  </si>
  <si>
    <t>2023-04-13T07:22:16</t>
  </si>
  <si>
    <t>35300.438</t>
  </si>
  <si>
    <t>70259.86</t>
  </si>
  <si>
    <t>DSP-1001660012266-B-D01</t>
  </si>
  <si>
    <t>iba1, gfap, sox2, sox2</t>
  </si>
  <si>
    <t>DSP-1001660012266-B-D02</t>
  </si>
  <si>
    <t>iba1, gfap, gfap</t>
  </si>
  <si>
    <t>DSP-1001660012266-B-D03</t>
  </si>
  <si>
    <t>DSP-1001660012266-B-D04</t>
  </si>
  <si>
    <t>DSP-1001660012266-B-D05</t>
  </si>
  <si>
    <t>DSP-1001660012266-B-D06</t>
  </si>
  <si>
    <t>69349.3984375</t>
  </si>
  <si>
    <t>20010.7109375</t>
  </si>
  <si>
    <t>DSP-1001660012266-B-D07</t>
  </si>
  <si>
    <t>DSP-1001660012266-B-D08</t>
  </si>
  <si>
    <t>69984.8125</t>
  </si>
  <si>
    <t>21607.3984375</t>
  </si>
  <si>
    <t>DSP-1001660012266-B-D09</t>
  </si>
  <si>
    <t>DSP-1001660012266-B-D10</t>
  </si>
  <si>
    <t>DSP-1001660012266-B-D11</t>
  </si>
  <si>
    <t>DSP-1001660012266-B-D12</t>
  </si>
  <si>
    <t>DSP-1001660012266-B-E01</t>
  </si>
  <si>
    <t>DSP-1001660012266-B-E02</t>
  </si>
  <si>
    <t>DSP-1001660012266-B-E03</t>
  </si>
  <si>
    <t>DSP-1001660012266-B-E04</t>
  </si>
  <si>
    <t>DSP-1001660012266-B-E05</t>
  </si>
  <si>
    <t>DSP-1001660012266-B-E06</t>
  </si>
  <si>
    <t>DSP-1001660012266-B-E07</t>
  </si>
  <si>
    <t>DSP-1001660012266-B-E08</t>
  </si>
  <si>
    <t>DSP-1001660012266-B-E09</t>
  </si>
  <si>
    <t>DSP-1001660012266-B-E10</t>
  </si>
  <si>
    <t>DSP-1001660012266-B-E11</t>
  </si>
  <si>
    <t>DSP-1001660012266-B-E12</t>
  </si>
  <si>
    <t>DSP-1001660012266-B-F01</t>
  </si>
  <si>
    <t>DSP-1001660012266-B-F02</t>
  </si>
  <si>
    <t>55261.16796875</t>
  </si>
  <si>
    <t>34218.20703125</t>
  </si>
  <si>
    <t>DSP-1001660012266-B-F03</t>
  </si>
  <si>
    <t>DSP-1001660012266-B-F04</t>
  </si>
  <si>
    <t>DSP-1001660012266-B-F05</t>
  </si>
  <si>
    <t>DSP-1001660012266-B-F06</t>
  </si>
  <si>
    <t>DSP-1001660012266-B-F07</t>
  </si>
  <si>
    <t>DSP-1001660012266-B-F08</t>
  </si>
  <si>
    <t>DSP-1001660012266-B-F09</t>
  </si>
  <si>
    <t>DSP-1001660012266-B-F10</t>
  </si>
  <si>
    <t>DSP-1001660012266-B-F11</t>
  </si>
  <si>
    <t>48351.69921875</t>
  </si>
  <si>
    <t>35801.97265625</t>
  </si>
  <si>
    <t>DSP-1001660012266-B-F12</t>
  </si>
  <si>
    <t>DSP-1001660012266-B-G01</t>
  </si>
  <si>
    <t>DSP-1001660012266-B-G02</t>
  </si>
  <si>
    <t>DSP-1001660012266-B-G03</t>
  </si>
  <si>
    <t>DSP-1001660012266-B-G04</t>
  </si>
  <si>
    <t>DSP-1001660012266-B-G05</t>
  </si>
  <si>
    <t>DSP-1001660012266-B-G06</t>
  </si>
  <si>
    <t>DSP-1001660012266-B-G07</t>
  </si>
  <si>
    <t>DSP-1001660012266-B-G08</t>
  </si>
  <si>
    <t>DSP-1001660012266-B-G09</t>
  </si>
  <si>
    <t>DSP-1001660012266-B-G10</t>
  </si>
  <si>
    <t>DSP-1001660012266-B-G11</t>
  </si>
  <si>
    <t>DSP-1001660012266-B-G12</t>
  </si>
  <si>
    <t>DSP-1001660012266-B-H01</t>
  </si>
  <si>
    <t>DSP-1001660012266-B-H02</t>
  </si>
  <si>
    <t>DSP-1001660012266-B-H03</t>
  </si>
  <si>
    <t>DSP-1001660012266-B-H04</t>
  </si>
  <si>
    <t>DSP-1001660012266-B-H05</t>
  </si>
  <si>
    <t>DSP-1001660012266-B-H06</t>
  </si>
  <si>
    <t>DSP-1001660012266-B-H07</t>
  </si>
  <si>
    <t>DSP-1001660012266-B-H08</t>
  </si>
  <si>
    <t>DSP-1001660012266-B-H09</t>
  </si>
  <si>
    <t>DSP-1001660012266-B-H10</t>
  </si>
  <si>
    <t>iba1, gfap, iba1</t>
  </si>
  <si>
    <t>DSP-1001660012266-B-H11</t>
  </si>
  <si>
    <t>DSP-1001660012266-B-H12</t>
  </si>
  <si>
    <t>DSP-1001660012265-C-A01</t>
  </si>
  <si>
    <t>DSP-1001660012265-C-A02</t>
  </si>
  <si>
    <t>DSP-1001660012265-C-A03</t>
  </si>
  <si>
    <t>DSP-1001660012265-C-A04</t>
  </si>
  <si>
    <t>DSP-1001660012265-C-A05</t>
  </si>
  <si>
    <t>DSP-1001660012265-C-A06</t>
  </si>
  <si>
    <t>DSP-1001660012265-C-A07</t>
  </si>
  <si>
    <t>DSP-1001660012265-C-A08</t>
  </si>
  <si>
    <t>DSP-1001660012265-C-A09</t>
  </si>
  <si>
    <t>DSP-1001660012265-C-A10</t>
  </si>
  <si>
    <t>29095.49609375</t>
  </si>
  <si>
    <t>35017.27734375</t>
  </si>
  <si>
    <t>DSP-1001660012265-C-A11</t>
  </si>
  <si>
    <t>DSP-1001660012265-C-A12</t>
  </si>
  <si>
    <t>31462.048828125</t>
  </si>
  <si>
    <t>34710.47265625</t>
  </si>
  <si>
    <t>DSP-1001660012265-C-B01</t>
  </si>
  <si>
    <t>DSP-1001660012265-C-B02</t>
  </si>
  <si>
    <t>30140.7890625</t>
  </si>
  <si>
    <t>33580.38671875</t>
  </si>
  <si>
    <t>DSP-1001660012265-C-B03</t>
  </si>
  <si>
    <t>30464.552734375</t>
  </si>
  <si>
    <t>36107.27734375</t>
  </si>
  <si>
    <t>DSP-1001660012265-C-B04</t>
  </si>
  <si>
    <t>DSP-1001660012265-C-B05</t>
  </si>
  <si>
    <t>DSP-1001660012265-C-B06</t>
  </si>
  <si>
    <t>DSP-1001660012265-C-B07</t>
  </si>
  <si>
    <t>DSP-1001660012265-C-B08</t>
  </si>
  <si>
    <t>DSP-1001660012265-C-B09</t>
  </si>
  <si>
    <t>DSP-1001660012265-C-B10</t>
  </si>
  <si>
    <t>23108.212890625</t>
  </si>
  <si>
    <t>28389.396484375</t>
  </si>
  <si>
    <t>DSP-1001660012265-C-B11</t>
  </si>
  <si>
    <t>DSP-1001660012265-C-B12</t>
  </si>
  <si>
    <t>25468.1484375</t>
  </si>
  <si>
    <t>28787.44140625</t>
  </si>
  <si>
    <t>DSP-1001660012265-C-C01</t>
  </si>
  <si>
    <t>DSP-1001660012265-C-C02</t>
  </si>
  <si>
    <t>24581.65625</t>
  </si>
  <si>
    <t>27241.13671875</t>
  </si>
  <si>
    <t>DSP-1001660012265-C-C03</t>
  </si>
  <si>
    <t>24612.689453125</t>
  </si>
  <si>
    <t>30232.548828125</t>
  </si>
  <si>
    <t>DSP-1001660012265-C-C04</t>
  </si>
  <si>
    <t>DSP-1001660012265-C-C05</t>
  </si>
  <si>
    <t>DSP-1001660012265-C-C06</t>
  </si>
  <si>
    <t>26310.69140625</t>
  </si>
  <si>
    <t>20437.185546875</t>
  </si>
  <si>
    <t>DSP-1001660012265-C-C07</t>
  </si>
  <si>
    <t>25657.01953125</t>
  </si>
  <si>
    <t>14592.310546875</t>
  </si>
  <si>
    <t>DSP-1001660012265-C-C08</t>
  </si>
  <si>
    <t>DSP-1001660012265-C-C09</t>
  </si>
  <si>
    <t>23304.75390625</t>
  </si>
  <si>
    <t>15093.2998046875</t>
  </si>
  <si>
    <t>DSP-1001660012265-C-C10</t>
  </si>
  <si>
    <t>DSP-1001660012265-C-C11</t>
  </si>
  <si>
    <t>DSP-1001660012265-C-C12</t>
  </si>
  <si>
    <t>DSP-1001660012265-C-D01</t>
  </si>
  <si>
    <t>DSP-1001660012265-C-D02</t>
  </si>
  <si>
    <t>DSP-1001660012265-C-D03</t>
  </si>
  <si>
    <t>DSP-1001660012265-C-D04</t>
  </si>
  <si>
    <t>DSP-1001660012265-C-D05</t>
  </si>
  <si>
    <t>DSP-1001660012265-C-D06</t>
  </si>
  <si>
    <t>DSP-1001660012265-C-D07</t>
  </si>
  <si>
    <t>DSP-1001660012265-C-D08</t>
  </si>
  <si>
    <t>DSP-1001660012265-C-D09</t>
  </si>
  <si>
    <t>DSP-1001660012265-C-D10</t>
  </si>
  <si>
    <t>DSP-1001660012265-C-D11</t>
  </si>
  <si>
    <t>DSP-1001660012265-C-D12</t>
  </si>
  <si>
    <t>DSP-1001660012265-C-E01</t>
  </si>
  <si>
    <t>DSP-1001660012265-C-E02</t>
  </si>
  <si>
    <t>DSP-1001660012265-C-E03</t>
  </si>
  <si>
    <t>DSP-1001660012265-C-E04</t>
  </si>
  <si>
    <t>DSP-1001660012265-C-E05</t>
  </si>
  <si>
    <t>DSP-1001660012265-C-E06</t>
  </si>
  <si>
    <t>DSP-1001660012265-C-E07</t>
  </si>
  <si>
    <t>DSP-1001660012265-C-E08</t>
  </si>
  <si>
    <t>DSP-1001660012265-C-E09</t>
  </si>
  <si>
    <t>DSP-1001660012265-C-E10</t>
  </si>
  <si>
    <t>DSP-1001660012265-C-E11</t>
  </si>
  <si>
    <t>SaraWTATMA2</t>
  </si>
  <si>
    <t>2023-04-13T07:53:20</t>
  </si>
  <si>
    <t>33604.414</t>
  </si>
  <si>
    <t>72089.6</t>
  </si>
  <si>
    <t>DSP-1001660012265-C-E12</t>
  </si>
  <si>
    <t>DSP-1001660012265-C-F01</t>
  </si>
  <si>
    <t>DSP-1001660012265-C-F02</t>
  </si>
  <si>
    <t>DSP-1001660012265-C-F03</t>
  </si>
  <si>
    <t>DSP-1001660012265-C-F04</t>
  </si>
  <si>
    <t>DSP-1001660012265-C-F05</t>
  </si>
  <si>
    <t>DSP-1001660012265-C-F06</t>
  </si>
  <si>
    <t>DSP-1001660012265-C-F07</t>
  </si>
  <si>
    <t>DSP-1001660012265-C-F08</t>
  </si>
  <si>
    <t>DSP-1001660012265-C-F09</t>
  </si>
  <si>
    <t>DSP-1001660012265-C-F10</t>
  </si>
  <si>
    <t>DSP-1001660012265-C-F11</t>
  </si>
  <si>
    <t>DSP-1001660012265-C-F12</t>
  </si>
  <si>
    <t>DSP-1001660012265-C-G01</t>
  </si>
  <si>
    <t>DSP-1001660012265-C-G02</t>
  </si>
  <si>
    <t>DSP-1001660012265-C-G03</t>
  </si>
  <si>
    <t>DSP-1001660012265-C-G04</t>
  </si>
  <si>
    <t>DSP-1001660012265-C-G05</t>
  </si>
  <si>
    <t>DSP-1001660012265-C-G06</t>
  </si>
  <si>
    <t>DSP-1001660012265-C-G07</t>
  </si>
  <si>
    <t>DSP-1001660012265-C-G08</t>
  </si>
  <si>
    <t>DSP-1001660012265-C-G09</t>
  </si>
  <si>
    <t>DSP-1001660012265-C-G10</t>
  </si>
  <si>
    <t>DSP-1001660012265-C-G11</t>
  </si>
  <si>
    <t>DSP-1001660012265-C-G12</t>
  </si>
  <si>
    <t>DSP-1001660012265-C-H01</t>
  </si>
  <si>
    <t>DSP-1001660012265-C-H02</t>
  </si>
  <si>
    <t>DSP-1001660012265-C-H03</t>
  </si>
  <si>
    <t>DSP-1001660012265-C-H04</t>
  </si>
  <si>
    <t>DSP-1001660012265-C-H05</t>
  </si>
  <si>
    <t>DSP-1001660012265-C-H06</t>
  </si>
  <si>
    <t>DSP-1001660012265-C-H07</t>
  </si>
  <si>
    <t>DSP-1001660012265-C-H08</t>
  </si>
  <si>
    <t>DSP-1001660012265-C-H09</t>
  </si>
  <si>
    <t>DSP-1001660012265-C-H10</t>
  </si>
  <si>
    <t>DSP-1001660012265-C-H11</t>
  </si>
  <si>
    <t>iba1, sox2, iba1</t>
  </si>
  <si>
    <t>DSP-1001660012265-C-H12</t>
  </si>
  <si>
    <t>iba1, sox2, sox2</t>
  </si>
  <si>
    <t>DSP-1001660012264-D-A01</t>
  </si>
  <si>
    <t>DSP-1001660012264-D-A02</t>
  </si>
  <si>
    <t>DSP-1001660012264-D-A03</t>
  </si>
  <si>
    <t>DSP-1001660012264-D-A04</t>
  </si>
  <si>
    <t>DSP-1001660012264-D-A05</t>
  </si>
  <si>
    <t>DSP-1001660012264-D-A06</t>
  </si>
  <si>
    <t>52283.16796875</t>
  </si>
  <si>
    <t>34017.79296875</t>
  </si>
  <si>
    <t>DSP-1001660012264-D-A07</t>
  </si>
  <si>
    <t>DSP-1001660012264-D-A08</t>
  </si>
  <si>
    <t>53689.6328125</t>
  </si>
  <si>
    <t>35000.56640625</t>
  </si>
  <si>
    <t>DSP-1001660012264-D-A09</t>
  </si>
  <si>
    <t>52355.73828125</t>
  </si>
  <si>
    <t>27687.515625</t>
  </si>
  <si>
    <t>DSP-1001660012264-D-A10</t>
  </si>
  <si>
    <t>DSP-1001660012264-D-A11</t>
  </si>
  <si>
    <t>54097.4765625</t>
  </si>
  <si>
    <t>27572.53515625</t>
  </si>
  <si>
    <t>DSP-1001660012264-D-A12</t>
  </si>
  <si>
    <t>DSP-1001660012264-D-B01</t>
  </si>
  <si>
    <t>DSP-1001660012264-D-B02</t>
  </si>
  <si>
    <t>DSP-1001660012264-D-B03</t>
  </si>
  <si>
    <t>DSP-1001660012264-D-B04</t>
  </si>
  <si>
    <t>DSP-1001660012264-D-B05</t>
  </si>
  <si>
    <t>DSP-1001660012264-D-B06</t>
  </si>
  <si>
    <t>44380.265625</t>
  </si>
  <si>
    <t>35146.0703125</t>
  </si>
  <si>
    <t>DSP-1001660012264-D-B07</t>
  </si>
  <si>
    <t>DSP-1001660012264-D-B08</t>
  </si>
  <si>
    <t>46628.26171875</t>
  </si>
  <si>
    <t>36366.6875</t>
  </si>
  <si>
    <t>DSP-1001660012264-D-B09</t>
  </si>
  <si>
    <t>46611.09765625</t>
  </si>
  <si>
    <t>26906.193359375</t>
  </si>
  <si>
    <t>DSP-1001660012264-D-B10</t>
  </si>
  <si>
    <t>DSP-1001660012264-D-B11</t>
  </si>
  <si>
    <t>47231.3125</t>
  </si>
  <si>
    <t>28539.75390625</t>
  </si>
  <si>
    <t>DSP-1001660012264-D-B12</t>
  </si>
  <si>
    <t>44303.04296875</t>
  </si>
  <si>
    <t>22050.3359375</t>
  </si>
  <si>
    <t>DSP-1001660012264-D-C01</t>
  </si>
  <si>
    <t>DSP-1001660012264-D-C02</t>
  </si>
  <si>
    <t>45825.65625</t>
  </si>
  <si>
    <t>21264.25</t>
  </si>
  <si>
    <t>DSP-1001660012264-D-C03</t>
  </si>
  <si>
    <t>46735.64453125</t>
  </si>
  <si>
    <t>13513.5224609375</t>
  </si>
  <si>
    <t>DSP-1001660012264-D-C04</t>
  </si>
  <si>
    <t>DSP-1001660012264-D-C05</t>
  </si>
  <si>
    <t>46664.0546875</t>
  </si>
  <si>
    <t>15699.6962890625</t>
  </si>
  <si>
    <t>DSP-1001660012264-D-C06</t>
  </si>
  <si>
    <t>DSP-1001660012264-D-C07</t>
  </si>
  <si>
    <t>DSP-1001660012264-D-C08</t>
  </si>
  <si>
    <t>DSP-1001660012264-D-C09</t>
  </si>
  <si>
    <t>DSP-1001660012264-D-C10</t>
  </si>
  <si>
    <t>DSP-1001660012264-D-C11</t>
  </si>
  <si>
    <t>DSP-1001660012264-D-C12</t>
  </si>
  <si>
    <t>DSP-1001660012264-D-D01</t>
  </si>
  <si>
    <t>DSP-1001660012264-D-D02</t>
  </si>
  <si>
    <t>DSP-1001660012264-D-D03</t>
  </si>
  <si>
    <t>38525.6953125</t>
  </si>
  <si>
    <t>14417.8828125</t>
  </si>
  <si>
    <t>DSP-1001660012264-D-D04</t>
  </si>
  <si>
    <t>DSP-1001660012264-D-D05</t>
  </si>
  <si>
    <t>40175.74609375</t>
  </si>
  <si>
    <t>13982.6904296875</t>
  </si>
  <si>
    <t>DSP-1001660012264-D-D06</t>
  </si>
  <si>
    <t>DSP-1001660012264-D-D07</t>
  </si>
  <si>
    <t>DSP-1001660012264-D-D08</t>
  </si>
  <si>
    <t>DSP-1001660012264-D-D09</t>
  </si>
  <si>
    <t>DSP-1001660012264-D-D10</t>
  </si>
  <si>
    <t>DSP-1001660012264-D-D11</t>
  </si>
  <si>
    <t>DSP-1001660012264-D-D12</t>
  </si>
  <si>
    <t>DSP-1001660012264-D-E01</t>
  </si>
  <si>
    <t>DSP-1001660012264-D-E02</t>
  </si>
  <si>
    <t>DSP-1001660012264-D-E03</t>
  </si>
  <si>
    <t>DSP-1001660012264-D-E04</t>
  </si>
  <si>
    <t>DSP-1001660012264-D-E05</t>
  </si>
  <si>
    <t>DSP-1001660012264-D-E06</t>
  </si>
  <si>
    <t>DSP-1001660012264-D-E07</t>
  </si>
  <si>
    <t>DSP-1001660012264-D-E08</t>
  </si>
  <si>
    <t>DSP-1001660012264-D-E09</t>
  </si>
  <si>
    <t>DSP-1001660012264-D-E10</t>
  </si>
  <si>
    <t>DSP-1001660012264-D-E11</t>
  </si>
  <si>
    <t>DSP-1001660012264-D-E12</t>
  </si>
  <si>
    <t>DSP-1001660012264-D-F01</t>
  </si>
  <si>
    <t>DSP-1001660012264-D-F02</t>
  </si>
  <si>
    <t>DSP-1001660012264-D-F03</t>
  </si>
  <si>
    <t>DSP-1001660012264-D-F04</t>
  </si>
  <si>
    <t>DSP-1001660012264-D-F05</t>
  </si>
  <si>
    <t>DSP-1001660012264-D-F06</t>
  </si>
  <si>
    <t>DSP-1001660012264-D-F07</t>
  </si>
  <si>
    <t>DSP-1001660012264-D-F08</t>
  </si>
  <si>
    <t>DSP-1001660012264-D-F09</t>
  </si>
  <si>
    <t>DSP-1001660012264-D-F10</t>
  </si>
  <si>
    <t>DSP-1001660012264-D-F11</t>
  </si>
  <si>
    <t>DSP-1001660012264-D-F12</t>
  </si>
  <si>
    <t>DSP-1001660012264-D-G01</t>
  </si>
  <si>
    <t>DSP-1001660012264-D-G02</t>
  </si>
  <si>
    <t>DSP-1001660012264-D-G03</t>
  </si>
  <si>
    <t>DSP-1001660012264-D-G04</t>
  </si>
  <si>
    <t>DSP-1001660012264-D-G05</t>
  </si>
  <si>
    <t>DSP-1001660012264-D-G06</t>
  </si>
  <si>
    <t>DSP-1001660012264-D-G07</t>
  </si>
  <si>
    <t>DSP-1001660012264-D-G08</t>
  </si>
  <si>
    <t>DSP-1001660012264-D-G09</t>
  </si>
  <si>
    <t>DSP-1001660012264-D-G10</t>
  </si>
  <si>
    <t>DSP-1001660012264-D-G11</t>
  </si>
  <si>
    <t>DSP-1001660012264-D-G12</t>
  </si>
  <si>
    <t>DSP-1001660012264-D-H01</t>
  </si>
  <si>
    <t>DSP-1001660012264-D-H02</t>
  </si>
  <si>
    <t>DSP-1001660012264-D-H03</t>
  </si>
  <si>
    <t>11263.224609375</t>
  </si>
  <si>
    <t>22556.638671875</t>
  </si>
  <si>
    <t>DSP-1001660012264-D-H04</t>
  </si>
  <si>
    <t>DSP-1001660012264-D-H05</t>
  </si>
  <si>
    <t>10393.517578125</t>
  </si>
  <si>
    <t>21129.576171875</t>
  </si>
  <si>
    <t>DSP-1001660012264-D-H06</t>
  </si>
  <si>
    <t>14540.009765625</t>
  </si>
  <si>
    <t>16099.443359375</t>
  </si>
  <si>
    <t>DSP-1001660012264-D-H07</t>
  </si>
  <si>
    <t>DSP-1001660012264-D-H08</t>
  </si>
  <si>
    <t>14010.521484375</t>
  </si>
  <si>
    <t>14468.017578125</t>
  </si>
  <si>
    <t>DSP-1001660012264-D-H09</t>
  </si>
  <si>
    <t>SaraWTATMA6</t>
  </si>
  <si>
    <t>2023-04-19T07:23:29</t>
  </si>
  <si>
    <t>35225.6</t>
  </si>
  <si>
    <t>72344.734</t>
  </si>
  <si>
    <t>DSP-1001660012264-D-H10</t>
  </si>
  <si>
    <t>DSP-1001660012264-D-H11</t>
  </si>
  <si>
    <t>DSP-1001660012264-D-H12</t>
  </si>
  <si>
    <t>DSP-1001660017941-E-A01</t>
  </si>
  <si>
    <t>DSP-1001660017941-E-A02</t>
  </si>
  <si>
    <t>DSP-1001660017941-E-A03</t>
  </si>
  <si>
    <t>DSP-1001660017941-E-A04</t>
  </si>
  <si>
    <t>DSP-1001660017941-E-A05</t>
  </si>
  <si>
    <t>DSP-1001660017941-E-A06</t>
  </si>
  <si>
    <t>DSP-1001660017941-E-A07</t>
  </si>
  <si>
    <t>DSP-1001660017941-E-A08</t>
  </si>
  <si>
    <t>DSP-1001660017941-E-A09</t>
  </si>
  <si>
    <t>DSP-1001660017941-E-A10</t>
  </si>
  <si>
    <t>DSP-1001660017941-E-A11</t>
  </si>
  <si>
    <t>DSP-1001660017941-E-A12</t>
  </si>
  <si>
    <t>DSP-1001660017941-E-B01</t>
  </si>
  <si>
    <t>63874.46484375</t>
  </si>
  <si>
    <t>30855.7265625</t>
  </si>
  <si>
    <t>DSP-1001660017941-E-B02</t>
  </si>
  <si>
    <t>DSP-1001660017941-E-B03</t>
  </si>
  <si>
    <t>63560.7734375</t>
  </si>
  <si>
    <t>29134.978515625</t>
  </si>
  <si>
    <t>DSP-1001660017941-E-B04</t>
  </si>
  <si>
    <t>DSP-1001660017941-E-B05</t>
  </si>
  <si>
    <t>DSP-1001660017941-E-B06</t>
  </si>
  <si>
    <t>DSP-1001660017941-E-B07</t>
  </si>
  <si>
    <t>DSP-1001660017941-E-B08</t>
  </si>
  <si>
    <t>DSP-1001660017941-E-B09</t>
  </si>
  <si>
    <t>DSP-1001660017941-E-B10</t>
  </si>
  <si>
    <t>DSP-1001660017941-E-B11</t>
  </si>
  <si>
    <t>DSP-1001660017941-E-B12</t>
  </si>
  <si>
    <t>DSP-1001660017941-E-C01</t>
  </si>
  <si>
    <t>DSP-1001660017941-E-C02</t>
  </si>
  <si>
    <t>DSP-1001660017941-E-C03</t>
  </si>
  <si>
    <t>DSP-1001660017941-E-C04</t>
  </si>
  <si>
    <t>DSP-1001660017941-E-C05</t>
  </si>
  <si>
    <t>DSP-1001660017941-E-C06</t>
  </si>
  <si>
    <t>DSP-1001660017941-E-C07</t>
  </si>
  <si>
    <t>57708.01953125</t>
  </si>
  <si>
    <t>9982.1416015625</t>
  </si>
  <si>
    <t>DSP-1001660017941-E-C08</t>
  </si>
  <si>
    <t>DSP-1001660017941-E-C09</t>
  </si>
  <si>
    <t>56061.48046875</t>
  </si>
  <si>
    <t>10286.91015625</t>
  </si>
  <si>
    <t>DSP-1001660017941-E-C10</t>
  </si>
  <si>
    <t>DSP-1001660017941-E-C11</t>
  </si>
  <si>
    <t>DSP-1001660017941-E-C12</t>
  </si>
  <si>
    <t>DSP-1001660017941-E-D01</t>
  </si>
  <si>
    <t>DSP-1001660017941-E-D02</t>
  </si>
  <si>
    <t>DSP-1001660017941-E-D03</t>
  </si>
  <si>
    <t>DSP-1001660017941-E-D04</t>
  </si>
  <si>
    <t>DSP-1001660017941-E-D05</t>
  </si>
  <si>
    <t>DSP-1001660017941-E-D06</t>
  </si>
  <si>
    <t>DSP-1001660017941-E-D07</t>
  </si>
  <si>
    <t>DSP-1001660017941-E-D08</t>
  </si>
  <si>
    <t>DSP-1001660017941-E-D09</t>
  </si>
  <si>
    <t>DSP-1001660017941-E-D10</t>
  </si>
  <si>
    <t>DSP-1001660017941-E-D11</t>
  </si>
  <si>
    <t>DSP-1001660017941-E-D12</t>
  </si>
  <si>
    <t>DSP-1001660017941-E-E01</t>
  </si>
  <si>
    <t>39677.98828125</t>
  </si>
  <si>
    <t>34927.8203125</t>
  </si>
  <si>
    <t>DSP-1001660017941-E-E02</t>
  </si>
  <si>
    <t>DSP-1001660017941-E-E03</t>
  </si>
  <si>
    <t>39187.53125</t>
  </si>
  <si>
    <t>36586.29296875</t>
  </si>
  <si>
    <t>DSP-1001660017941-E-E04</t>
  </si>
  <si>
    <t>39450.75390625</t>
  </si>
  <si>
    <t>28033.626953125</t>
  </si>
  <si>
    <t>DSP-1001660017941-E-E05</t>
  </si>
  <si>
    <t>DSP-1001660017941-E-E06</t>
  </si>
  <si>
    <t>38939.3203125</t>
  </si>
  <si>
    <t>30585.189453125</t>
  </si>
  <si>
    <t>DSP-1001660017941-E-E07</t>
  </si>
  <si>
    <t>39783.27734375</t>
  </si>
  <si>
    <t>23128.076171875</t>
  </si>
  <si>
    <t>DSP-1001660017941-E-E08</t>
  </si>
  <si>
    <t>DSP-1001660017941-E-E09</t>
  </si>
  <si>
    <t>40298.015625</t>
  </si>
  <si>
    <t>21512.712890625</t>
  </si>
  <si>
    <t>DSP-1001660017941-E-E10</t>
  </si>
  <si>
    <t>39446.625</t>
  </si>
  <si>
    <t>15453.1552734375</t>
  </si>
  <si>
    <t>DSP-1001660017941-E-E11</t>
  </si>
  <si>
    <t>DSP-1001660017941-E-E12</t>
  </si>
  <si>
    <t>DSP-1001660017941-E-F01</t>
  </si>
  <si>
    <t>DSP-1001660017941-E-F02</t>
  </si>
  <si>
    <t>DSP-1001660017941-E-F03</t>
  </si>
  <si>
    <t>DSP-1001660017941-E-F04</t>
  </si>
  <si>
    <t>DSP-1001660017941-E-F05</t>
  </si>
  <si>
    <t>DSP-1001660017941-E-F06</t>
  </si>
  <si>
    <t>DSP-1001660017941-E-F07</t>
  </si>
  <si>
    <t>32519.453125</t>
  </si>
  <si>
    <t>21755.69140625</t>
  </si>
  <si>
    <t>DSP-1001660017941-E-F08</t>
  </si>
  <si>
    <t>DSP-1001660017941-E-F09</t>
  </si>
  <si>
    <t>34132.3046875</t>
  </si>
  <si>
    <t>22279.046875</t>
  </si>
  <si>
    <t>DSP-1001660017941-E-F10</t>
  </si>
  <si>
    <t>34296.36328125</t>
  </si>
  <si>
    <t>16258.841796875</t>
  </si>
  <si>
    <t>DSP-1001660017941-E-F11</t>
  </si>
  <si>
    <t>DSP-1001660017941-E-F12</t>
  </si>
  <si>
    <t>33102.703125</t>
  </si>
  <si>
    <t>17534.2578125</t>
  </si>
  <si>
    <t>DSP-1001660017941-E-G01</t>
  </si>
  <si>
    <t>DSP-1001660017941-E-G02</t>
  </si>
  <si>
    <t>DSP-1001660017941-E-G03</t>
  </si>
  <si>
    <t>DSP-1001660017941-E-G04</t>
  </si>
  <si>
    <t>DSP-1001660017941-E-G05</t>
  </si>
  <si>
    <t>DSP-1001660017941-E-G06</t>
  </si>
  <si>
    <t>DSP-1001660017941-E-G07</t>
  </si>
  <si>
    <t>DSP-1001660017941-E-G08</t>
  </si>
  <si>
    <t>DSP-1001660017941-E-G09</t>
  </si>
  <si>
    <t>DSP-1001660017941-E-G10</t>
  </si>
  <si>
    <t>DSP-1001660017941-E-G11</t>
  </si>
  <si>
    <t>DSP-1001660017941-E-G12</t>
  </si>
  <si>
    <t>DSP-1001660017941-E-H01</t>
  </si>
  <si>
    <t>DSP-1001660017941-E-H02</t>
  </si>
  <si>
    <t>DSP-1001660017941-E-H03</t>
  </si>
  <si>
    <t>DSP-1001660017941-E-H04</t>
  </si>
  <si>
    <t>20986.689453125</t>
  </si>
  <si>
    <t>33735.0234375</t>
  </si>
  <si>
    <t>DSP-1001660017941-E-H05</t>
  </si>
  <si>
    <t>DSP-1001660017941-E-H06</t>
  </si>
  <si>
    <t>20892.841796875</t>
  </si>
  <si>
    <t>36318.47265625</t>
  </si>
  <si>
    <t>DSP-1001660017941-E-H07</t>
  </si>
  <si>
    <t>DSP-1001660017941-E-H08</t>
  </si>
  <si>
    <t>20438.640625</t>
  </si>
  <si>
    <t>28710.697265625</t>
  </si>
  <si>
    <t>DSP-1001660017941-E-H09</t>
  </si>
  <si>
    <t>DSP-1001660017941-E-H10</t>
  </si>
  <si>
    <t>DSP-1001660017941-E-H11</t>
  </si>
  <si>
    <t>DSP-1001660017941-E-H12</t>
  </si>
  <si>
    <t>DSP-1001660017944-F-A01</t>
  </si>
  <si>
    <t>DSP-1001660017944-F-A02</t>
  </si>
  <si>
    <t>DSP-1001660017944-F-A03</t>
  </si>
  <si>
    <t>DSP-1001660017944-F-A04</t>
  </si>
  <si>
    <t>DSP-1001660017944-F-A05</t>
  </si>
  <si>
    <t>DSP-1001660017944-F-A06</t>
  </si>
  <si>
    <t>DSP-1001660017944-F-A07</t>
  </si>
  <si>
    <t>DSP-1001660017944-F-A08</t>
  </si>
  <si>
    <t>DSP-1001660017944-F-A09</t>
  </si>
  <si>
    <t>DSP-1001660017944-F-A10</t>
  </si>
  <si>
    <t>DSP-1001660017944-F-A11</t>
  </si>
  <si>
    <t>DSP-1001660017944-F-A12</t>
  </si>
  <si>
    <t>DSP-1001660017944-F-B01</t>
  </si>
  <si>
    <t>DSP-1001660017944-F-B02</t>
  </si>
  <si>
    <t>DSP-1001660017944-F-B03</t>
  </si>
  <si>
    <t>DSP-1001660017944-F-B04</t>
  </si>
  <si>
    <t>DSP-1001660017944-F-B05</t>
  </si>
  <si>
    <t>DSP-1001660017944-F-B06</t>
  </si>
  <si>
    <t>DSP-1001660017944-F-B07</t>
  </si>
  <si>
    <t>DSP-1001660017944-F-B08</t>
  </si>
  <si>
    <t>DSP-1001660017944-F-B09</t>
  </si>
  <si>
    <t>DSP-1001660017944-F-B10</t>
  </si>
  <si>
    <t>SaraWTATMA3</t>
  </si>
  <si>
    <t>2023-04-20T07:15:43</t>
  </si>
  <si>
    <t>35300.484</t>
  </si>
  <si>
    <t>79510.22</t>
  </si>
  <si>
    <t>DSP-1001660017944-F-B11</t>
  </si>
  <si>
    <t>DSP-1001660017944-F-B12</t>
  </si>
  <si>
    <t>DSP-1001660017944-F-C01</t>
  </si>
  <si>
    <t>DSP-1001660017944-F-C02</t>
  </si>
  <si>
    <t>DSP-1001660017944-F-C03</t>
  </si>
  <si>
    <t>DSP-1001660017944-F-C04</t>
  </si>
  <si>
    <t>DSP-1001660017944-F-C05</t>
  </si>
  <si>
    <t>DSP-1001660017944-F-C06</t>
  </si>
  <si>
    <t>DSP-1001660017944-F-C07</t>
  </si>
  <si>
    <t>DSP-1001660017944-F-C08</t>
  </si>
  <si>
    <t>DSP-1001660017944-F-C09</t>
  </si>
  <si>
    <t>DSP-1001660017944-F-C10</t>
  </si>
  <si>
    <t>DSP-1001660017944-F-C11</t>
  </si>
  <si>
    <t>DSP-1001660017944-F-C12</t>
  </si>
  <si>
    <t>DSP-1001660017944-F-D01</t>
  </si>
  <si>
    <t>DSP-1001660017944-F-D02</t>
  </si>
  <si>
    <t>DSP-1001660017944-F-D03</t>
  </si>
  <si>
    <t>DSP-1001660017944-F-D04</t>
  </si>
  <si>
    <t>DSP-1001660017944-F-D05</t>
  </si>
  <si>
    <t>DSP-1001660017944-F-D06</t>
  </si>
  <si>
    <t>DSP-1001660017944-F-D07</t>
  </si>
  <si>
    <t>DSP-1001660017944-F-D08</t>
  </si>
  <si>
    <t>DSP-1001660017944-F-D09</t>
  </si>
  <si>
    <t>DSP-1001660017944-F-D10</t>
  </si>
  <si>
    <t>DSP-1001660017944-F-D11</t>
  </si>
  <si>
    <t>DSP-1001660017944-F-D12</t>
  </si>
  <si>
    <t>DSP-1001660017944-F-E01</t>
  </si>
  <si>
    <t>14228.626953125</t>
  </si>
  <si>
    <t>31936.810546875</t>
  </si>
  <si>
    <t>DSP-1001660017944-F-E02</t>
  </si>
  <si>
    <t>DSP-1001660017944-F-E03</t>
  </si>
  <si>
    <t>16852.806640625</t>
  </si>
  <si>
    <t>31216.494140625</t>
  </si>
  <si>
    <t>DSP-1001660017944-F-E04</t>
  </si>
  <si>
    <t>DSP-1001660017944-F-E05</t>
  </si>
  <si>
    <t>13992.0908203125</t>
  </si>
  <si>
    <t>30210.5390625</t>
  </si>
  <si>
    <t>DSP-1001660017944-F-E06</t>
  </si>
  <si>
    <t>15646.3876953125</t>
  </si>
  <si>
    <t>30003.751953125</t>
  </si>
  <si>
    <t>DSP-1001660017944-F-E07</t>
  </si>
  <si>
    <t>DSP-1001660017944-F-E08</t>
  </si>
  <si>
    <t>DSP-1001660017944-F-E09</t>
  </si>
  <si>
    <t>DSP-1001660017944-F-E10</t>
  </si>
  <si>
    <t>DSP-1001660017944-F-E11</t>
  </si>
  <si>
    <t>DSP-1001660017944-F-E12</t>
  </si>
  <si>
    <t>DSP-1001660017944-F-F01</t>
  </si>
  <si>
    <t>DSP-1001660017944-F-F02</t>
  </si>
  <si>
    <t>DSP-1001660017944-F-F03</t>
  </si>
  <si>
    <t>DSP-1001660017944-F-F04</t>
  </si>
  <si>
    <t>DSP-1001660017944-F-F05</t>
  </si>
  <si>
    <t>DSP-1001660017944-F-F06</t>
  </si>
  <si>
    <t>DSP-1001660017944-F-F07</t>
  </si>
  <si>
    <t>DSP-1001660017944-F-F08</t>
  </si>
  <si>
    <t>DSP-1001660017944-F-F09</t>
  </si>
  <si>
    <t>DSP-1001660017944-F-F10</t>
  </si>
  <si>
    <t>DSP-1001660017944-F-F11</t>
  </si>
  <si>
    <t>DSP-1001660017944-F-F12</t>
  </si>
  <si>
    <t>DSP-1001660017944-F-G01</t>
  </si>
  <si>
    <t>DSP-1001660017944-F-G02</t>
  </si>
  <si>
    <t>DSP-1001660017944-F-G03</t>
  </si>
  <si>
    <t>DSP-1001660017944-F-G04</t>
  </si>
  <si>
    <t>DSP-1001660017944-F-G05</t>
  </si>
  <si>
    <t>DSP-1001660017944-F-G06</t>
  </si>
  <si>
    <t>DSP-1001660017944-F-G07</t>
  </si>
  <si>
    <t>SaraWTATMA4</t>
  </si>
  <si>
    <t>2023-04-20T07:44:05</t>
  </si>
  <si>
    <t>35337.742</t>
  </si>
  <si>
    <t>DSP-1001660017944-F-G08</t>
  </si>
  <si>
    <t>DSP-1001660017944-F-G09</t>
  </si>
  <si>
    <t>DSP-1001660017944-F-G10</t>
  </si>
  <si>
    <t>DSP-1001660017944-F-G11</t>
  </si>
  <si>
    <t>DSP-1001660017944-F-G12</t>
  </si>
  <si>
    <t>DSP-1001660017944-F-H01</t>
  </si>
  <si>
    <t>DSP-1001660017944-F-H02</t>
  </si>
  <si>
    <t>DSP-1001660017944-F-H03</t>
  </si>
  <si>
    <t>DSP-1001660017944-F-H04</t>
  </si>
  <si>
    <t>DSP-1001660017944-F-H05</t>
  </si>
  <si>
    <t>DSP-1001660017944-F-H06</t>
  </si>
  <si>
    <t>DSP-1001660017944-F-H07</t>
  </si>
  <si>
    <t>DSP-1001660017944-F-H08</t>
  </si>
  <si>
    <t>DSP-1001660017944-F-H09</t>
  </si>
  <si>
    <t>DSP-1001660017944-F-H10</t>
  </si>
  <si>
    <t>60891.44921875</t>
  </si>
  <si>
    <t>37490.75390625</t>
  </si>
  <si>
    <t>DSP-1001660017944-F-H11</t>
  </si>
  <si>
    <t>DSP-1001660017944-F-H12</t>
  </si>
  <si>
    <t>DSP-1001660017943-G-A01</t>
  </si>
  <si>
    <t>DSP-1001660017943-G-A02</t>
  </si>
  <si>
    <t>DSP-1001660017943-G-A03</t>
  </si>
  <si>
    <t>DSP-1001660017943-G-A04</t>
  </si>
  <si>
    <t>DSP-1001660017943-G-A05</t>
  </si>
  <si>
    <t>DSP-1001660017943-G-A06</t>
  </si>
  <si>
    <t>DSP-1001660017943-G-A07</t>
  </si>
  <si>
    <t>DSP-1001660017943-G-A08</t>
  </si>
  <si>
    <t>DSP-1001660017943-G-A09</t>
  </si>
  <si>
    <t>DSP-1001660017943-G-A10</t>
  </si>
  <si>
    <t>DSP-1001660017943-G-A11</t>
  </si>
  <si>
    <t>59712.46484375</t>
  </si>
  <si>
    <t>23085.076171875</t>
  </si>
  <si>
    <t>DSP-1001660017943-G-A12</t>
  </si>
  <si>
    <t>DSP-1001660017943-G-B01</t>
  </si>
  <si>
    <t>61411.5859375</t>
  </si>
  <si>
    <t>22963.712890625</t>
  </si>
  <si>
    <t>DSP-1001660017943-G-B02</t>
  </si>
  <si>
    <t>DSP-1001660017943-G-B03</t>
  </si>
  <si>
    <t>59871.49609375</t>
  </si>
  <si>
    <t>24580.240234375</t>
  </si>
  <si>
    <t>DSP-1001660017943-G-B04</t>
  </si>
  <si>
    <t>61454.27734375</t>
  </si>
  <si>
    <t>24646.3359375</t>
  </si>
  <si>
    <t>DSP-1001660017943-G-B05</t>
  </si>
  <si>
    <t>59265.0078125</t>
  </si>
  <si>
    <t>15898.9638671875</t>
  </si>
  <si>
    <t>DSP-1001660017943-G-B06</t>
  </si>
  <si>
    <t>DSP-1001660017943-G-B07</t>
  </si>
  <si>
    <t>60978.859375</t>
  </si>
  <si>
    <t>15891.38671875</t>
  </si>
  <si>
    <t>DSP-1001660017943-G-B08</t>
  </si>
  <si>
    <t>DSP-1001660017943-G-B09</t>
  </si>
  <si>
    <t>59277.1328125</t>
  </si>
  <si>
    <t>17629.484375</t>
  </si>
  <si>
    <t>DSP-1001660017943-G-B10</t>
  </si>
  <si>
    <t>61006.13671875</t>
  </si>
  <si>
    <t>17623.421875</t>
  </si>
  <si>
    <t>DSP-1001660017943-G-B11</t>
  </si>
  <si>
    <t>DSP-1001660017943-G-B12</t>
  </si>
  <si>
    <t>DSP-1001660017943-G-C01</t>
  </si>
  <si>
    <t>DSP-1001660017943-G-C02</t>
  </si>
  <si>
    <t>DSP-1001660017943-G-C03</t>
  </si>
  <si>
    <t>DSP-1001660017943-G-C04</t>
  </si>
  <si>
    <t>DSP-1001660017943-G-C05</t>
  </si>
  <si>
    <t>DSP-1001660017943-G-C06</t>
  </si>
  <si>
    <t>DSP-1001660017943-G-C07</t>
  </si>
  <si>
    <t>DSP-1001660017943-G-C08</t>
  </si>
  <si>
    <t>DSP-1001660017943-G-C09</t>
  </si>
  <si>
    <t>DSP-1001660017943-G-C10</t>
  </si>
  <si>
    <t>DSP-1001660017943-G-C11</t>
  </si>
  <si>
    <t>DSP-1001660017943-G-C12</t>
  </si>
  <si>
    <t>DSP-1001660017943-G-D01</t>
  </si>
  <si>
    <t>52764.5234375</t>
  </si>
  <si>
    <t>22653.369140625</t>
  </si>
  <si>
    <t>DSP-1001660017943-G-D02</t>
  </si>
  <si>
    <t>DSP-1001660017943-G-D03</t>
  </si>
  <si>
    <t>52423.6015625</t>
  </si>
  <si>
    <t>24306.576171875</t>
  </si>
  <si>
    <t>DSP-1001660017943-G-D04</t>
  </si>
  <si>
    <t>53978.5390625</t>
  </si>
  <si>
    <t>24971.5546875</t>
  </si>
  <si>
    <t>DSP-1001660017943-G-D05</t>
  </si>
  <si>
    <t>DSP-1001660017943-G-D06</t>
  </si>
  <si>
    <t>DSP-1001660017943-G-D07</t>
  </si>
  <si>
    <t>DSP-1001660017943-G-D08</t>
  </si>
  <si>
    <t>DSP-1001660017943-G-D09</t>
  </si>
  <si>
    <t>DSP-1001660017943-G-D10</t>
  </si>
  <si>
    <t>DSP-1001660017943-G-D11</t>
  </si>
  <si>
    <t>46019.5546875</t>
  </si>
  <si>
    <t>35999.03515625</t>
  </si>
  <si>
    <t>DSP-1001660017943-G-D12</t>
  </si>
  <si>
    <t>DSP-1001660017943-G-E01</t>
  </si>
  <si>
    <t>47352.421875</t>
  </si>
  <si>
    <t>37073.609375</t>
  </si>
  <si>
    <t>DSP-1001660017943-G-E02</t>
  </si>
  <si>
    <t>DSP-1001660017943-G-E03</t>
  </si>
  <si>
    <t>DSP-1001660017943-G-E04</t>
  </si>
  <si>
    <t>49072.734375</t>
  </si>
  <si>
    <t>37146.4609375</t>
  </si>
  <si>
    <t>DSP-1001660017943-G-E05</t>
  </si>
  <si>
    <t>DSP-1001660017943-G-E06</t>
  </si>
  <si>
    <t>DSP-1001660017943-G-E07</t>
  </si>
  <si>
    <t>47862.421875</t>
  </si>
  <si>
    <t>28546.505859375</t>
  </si>
  <si>
    <t>DSP-1001660017943-G-E08</t>
  </si>
  <si>
    <t>DSP-1001660017943-G-E09</t>
  </si>
  <si>
    <t>46900.20703125</t>
  </si>
  <si>
    <t>29964.234375</t>
  </si>
  <si>
    <t>DSP-1001660017943-G-E10</t>
  </si>
  <si>
    <t>48571.28515625</t>
  </si>
  <si>
    <t>30197.111328125</t>
  </si>
  <si>
    <t>DSP-1001660017943-G-E11</t>
  </si>
  <si>
    <t>DSP-1001660017943-G-E12</t>
  </si>
  <si>
    <t>DSP-1001660017943-G-F01</t>
  </si>
  <si>
    <t>DSP-1001660017943-G-F02</t>
  </si>
  <si>
    <t>DSP-1001660017943-G-F03</t>
  </si>
  <si>
    <t>DSP-1001660017943-G-F04</t>
  </si>
  <si>
    <t>DSP-1001660017943-G-F05</t>
  </si>
  <si>
    <t>33676.421875</t>
  </si>
  <si>
    <t>35421.6171875</t>
  </si>
  <si>
    <t>DSP-1001660017943-G-F06</t>
  </si>
  <si>
    <t>DSP-1001660017943-G-F07</t>
  </si>
  <si>
    <t>32292.58984375</t>
  </si>
  <si>
    <t>36611.14453125</t>
  </si>
  <si>
    <t>DSP-1001660017943-G-F08</t>
  </si>
  <si>
    <t>DSP-1001660017943-G-F09</t>
  </si>
  <si>
    <t>33345.8671875</t>
  </si>
  <si>
    <t>38275.76953125</t>
  </si>
  <si>
    <t>DSP-1001660017943-G-F10</t>
  </si>
  <si>
    <t>34865.94921875</t>
  </si>
  <si>
    <t>37547.125</t>
  </si>
  <si>
    <t>DSP-1001660017943-G-F11</t>
  </si>
  <si>
    <t>33464.88671875</t>
  </si>
  <si>
    <t>29152.337890625</t>
  </si>
  <si>
    <t>DSP-1001660017943-G-F12</t>
  </si>
  <si>
    <t>DSP-1001660017943-G-G01</t>
  </si>
  <si>
    <t>35677.765625</t>
  </si>
  <si>
    <t>30415.76171875</t>
  </si>
  <si>
    <t>DSP-1001660017943-G-G02</t>
  </si>
  <si>
    <t>DSP-1001660017943-G-G03</t>
  </si>
  <si>
    <t>33919.234375</t>
  </si>
  <si>
    <t>30771.998046875</t>
  </si>
  <si>
    <t>DSP-1001660017943-G-G04</t>
  </si>
  <si>
    <t>35999.28125</t>
  </si>
  <si>
    <t>28676.857421875</t>
  </si>
  <si>
    <t>DSP-1001660017943-G-G05</t>
  </si>
  <si>
    <t>DSP-1001660017943-G-G06</t>
  </si>
  <si>
    <t>DSP-1001660017943-G-G07</t>
  </si>
  <si>
    <t>35474.42578125</t>
  </si>
  <si>
    <t>24509.44921875</t>
  </si>
  <si>
    <t>DSP-1001660017943-G-G08</t>
  </si>
  <si>
    <t>DSP-1001660017943-G-G09</t>
  </si>
  <si>
    <t>DSP-1001660017943-G-G10</t>
  </si>
  <si>
    <t>DSP-1001660017943-G-G11</t>
  </si>
  <si>
    <t>DSP-1001660017943-G-G12</t>
  </si>
  <si>
    <t>27550.251953125</t>
  </si>
  <si>
    <t>36035.0625</t>
  </si>
  <si>
    <t>DSP-1001660017943-G-H01</t>
  </si>
  <si>
    <t>DSP-1001660017943-G-H02</t>
  </si>
  <si>
    <t>27256.3828125</t>
  </si>
  <si>
    <t>37839.6875</t>
  </si>
  <si>
    <t>DSP-1001660017943-G-H03</t>
  </si>
  <si>
    <t>DSP-1001660017943-G-H04</t>
  </si>
  <si>
    <t>29209.279296875</t>
  </si>
  <si>
    <t>36714.96875</t>
  </si>
  <si>
    <t>DSP-1001660017943-G-H05</t>
  </si>
  <si>
    <t>29125.125</t>
  </si>
  <si>
    <t>38543.63671875</t>
  </si>
  <si>
    <t>DSP-1001660017943-G-H06</t>
  </si>
  <si>
    <t>DSP-1001660017943-G-H07</t>
  </si>
  <si>
    <t>DSP-1001660017943-G-H08</t>
  </si>
  <si>
    <t>DSP-1001660017943-G-H09</t>
  </si>
  <si>
    <t>DSP-1001660017943-G-H10</t>
  </si>
  <si>
    <t>DSP-1001660017943-G-H11</t>
  </si>
  <si>
    <t>DSP-1001660017943-G-H12</t>
  </si>
  <si>
    <t>DSP-1001660017942-H-A01</t>
  </si>
  <si>
    <t>DSP-1001660017942-H-A02</t>
  </si>
  <si>
    <t>DSP-1001660017942-H-A03</t>
  </si>
  <si>
    <t>28084.462890625</t>
  </si>
  <si>
    <t>22630.884765625</t>
  </si>
  <si>
    <t>DSP-1001660017942-H-A04</t>
  </si>
  <si>
    <t>DSP-1001660017942-H-A05</t>
  </si>
  <si>
    <t>29581.01171875</t>
  </si>
  <si>
    <t>23367.6484375</t>
  </si>
  <si>
    <t>DSP-1001660017942-H-A06</t>
  </si>
  <si>
    <t>DSP-1001660017942-H-A07</t>
  </si>
  <si>
    <t>DSP-1001660017942-H-A08</t>
  </si>
  <si>
    <t>DSP-1001660017942-H-A09</t>
  </si>
  <si>
    <t>DSP-1001660017942-H-A10</t>
  </si>
  <si>
    <t>28012.67578125</t>
  </si>
  <si>
    <t>15477.193359375</t>
  </si>
  <si>
    <t>DSP-1001660017942-H-A11</t>
  </si>
  <si>
    <t>DSP-1001660017942-H-A12</t>
  </si>
  <si>
    <t>26127.845703125</t>
  </si>
  <si>
    <t>15906.587890625</t>
  </si>
  <si>
    <t>DSP-1001660017942-H-B01</t>
  </si>
  <si>
    <t>DSP-1001660017942-H-B02</t>
  </si>
  <si>
    <t>DSP-1001660017942-H-B03</t>
  </si>
  <si>
    <t>DSP-1001660017942-H-B04</t>
  </si>
  <si>
    <t>DSP-1001660017942-H-B05</t>
  </si>
  <si>
    <t>DSP-1001660017942-H-B06</t>
  </si>
  <si>
    <t>DSP-1001660017942-H-B07</t>
  </si>
  <si>
    <t>21610.201171875</t>
  </si>
  <si>
    <t>38852.58203125</t>
  </si>
  <si>
    <t>DSP-1001660017942-H-B08</t>
  </si>
  <si>
    <t>23444.919921875</t>
  </si>
  <si>
    <t>38470.69140625</t>
  </si>
  <si>
    <t>DSP-1001660017942-H-B09</t>
  </si>
  <si>
    <t>DSP-1001660017942-H-B10</t>
  </si>
  <si>
    <t>DSP-1001660017942-H-B11</t>
  </si>
  <si>
    <t>DSP-1001660017942-H-B12</t>
  </si>
  <si>
    <t>20238.435546875</t>
  </si>
  <si>
    <t>22650.87109375</t>
  </si>
  <si>
    <t>DSP-1001660017942-H-C01</t>
  </si>
  <si>
    <t>DSP-1001660017942-H-C02</t>
  </si>
  <si>
    <t>20255.2265625</t>
  </si>
  <si>
    <t>24328.662109375</t>
  </si>
  <si>
    <t>DSP-1001660017942-H-C03</t>
  </si>
  <si>
    <t>DSP-1001660017942-H-C04</t>
  </si>
  <si>
    <t>21970.798828125</t>
  </si>
  <si>
    <t>22250.6640625</t>
  </si>
  <si>
    <t>DSP-1001660017942-H-C05</t>
  </si>
  <si>
    <t>22016.9765625</t>
  </si>
  <si>
    <t>24034.802734375</t>
  </si>
  <si>
    <t>DSP-1001660017942-H-C06</t>
  </si>
  <si>
    <t>DSP-1001660017942-H-C07</t>
  </si>
  <si>
    <t>DSP-1001660017942-H-C08</t>
  </si>
  <si>
    <t>DSP-1001660017942-H-C09</t>
  </si>
  <si>
    <t>DSP-1001660017942-H-C10</t>
  </si>
  <si>
    <t>12592.83203125</t>
  </si>
  <si>
    <t>32057.267578125</t>
  </si>
  <si>
    <t>DSP-1001660017942-H-C11</t>
  </si>
  <si>
    <t>DSP-1001660017942-H-C12</t>
  </si>
  <si>
    <t>11428.2626953125</t>
  </si>
  <si>
    <t>30784.01953125</t>
  </si>
  <si>
    <t>DSP-1001660017942-H-D01</t>
  </si>
  <si>
    <t>DSP-1001660017942-H-D02</t>
  </si>
  <si>
    <t>DSP-1001660017942-H-D03</t>
  </si>
  <si>
    <t>DSP-1001660017942-H-D04</t>
  </si>
  <si>
    <t>15525.9150390625</t>
  </si>
  <si>
    <t>24459.373046875</t>
  </si>
  <si>
    <t>DSP-1001660017942-H-D05</t>
  </si>
  <si>
    <t>DSP-1001660017942-H-D06</t>
  </si>
  <si>
    <t>DSP-1001660017942-H-D07</t>
  </si>
  <si>
    <t>DSP-1001660017942-H-D08</t>
  </si>
  <si>
    <t>TOTAL AREA PLATE A</t>
  </si>
  <si>
    <t>TOTAL AREA PLATE B</t>
  </si>
  <si>
    <t>TOTAL AREA PLATE C</t>
  </si>
  <si>
    <t>TOTAL AREA PLATE D</t>
  </si>
  <si>
    <t>TOTAL AREA PLATE E</t>
  </si>
  <si>
    <t>TOTAL AREA PLATE F</t>
  </si>
  <si>
    <t>TOTAL AREA PLATE G</t>
  </si>
  <si>
    <t>TOTAL AREA PLATE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</si>
</sst>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right" vertical="top"/>
    </xf>
    <xf numFmtId="2" fontId="9" fillId="5" borderId="4" xfId="9" applyNumberFormat="1"/>
    <xf numFmtId="2" fontId="9" fillId="5" borderId="4" xfId="9" applyNumberFormat="1" applyAlignment="1">
      <alignment horizontal="righ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46"/>
  <sheetViews>
    <sheetView tabSelected="1" zoomScale="85" zoomScaleNormal="85" workbookViewId="0">
      <selection activeCell="H15" sqref="H15"/>
    </sheetView>
  </sheetViews>
  <sheetFormatPr baseColWidth="10" defaultColWidth="8.83203125" defaultRowHeight="15" x14ac:dyDescent="0.2"/>
  <cols>
    <col min="1" max="1" width="36.5" customWidth="1"/>
    <col min="2" max="2" width="15.83203125" customWidth="1"/>
    <col min="3" max="3" width="21.5" customWidth="1"/>
    <col min="8" max="8" width="41.5" customWidth="1"/>
  </cols>
  <sheetData>
    <row r="1" spans="1:4" x14ac:dyDescent="0.2">
      <c r="A1" t="s">
        <v>0</v>
      </c>
    </row>
    <row r="2" spans="1:4" x14ac:dyDescent="0.2">
      <c r="A2" t="s">
        <v>1</v>
      </c>
      <c r="B2" t="s">
        <v>2</v>
      </c>
    </row>
    <row r="3" spans="1:4" x14ac:dyDescent="0.2">
      <c r="A3" t="s">
        <v>3</v>
      </c>
      <c r="B3" t="s">
        <v>4</v>
      </c>
    </row>
    <row r="4" spans="1:4" x14ac:dyDescent="0.2">
      <c r="A4" t="s">
        <v>5</v>
      </c>
      <c r="B4" t="s">
        <v>6</v>
      </c>
    </row>
    <row r="5" spans="1:4" x14ac:dyDescent="0.2">
      <c r="A5" t="s">
        <v>7</v>
      </c>
      <c r="B5">
        <v>8</v>
      </c>
    </row>
    <row r="6" spans="1:4" x14ac:dyDescent="0.2">
      <c r="A6" t="s">
        <v>8</v>
      </c>
      <c r="B6">
        <v>708</v>
      </c>
    </row>
    <row r="7" spans="1:4" x14ac:dyDescent="0.2">
      <c r="A7" t="s">
        <v>9</v>
      </c>
    </row>
    <row r="9" spans="1:4" x14ac:dyDescent="0.2">
      <c r="A9" t="s">
        <v>10</v>
      </c>
    </row>
    <row r="10" spans="1:4" x14ac:dyDescent="0.2">
      <c r="A10" t="s">
        <v>11</v>
      </c>
      <c r="B10" t="s">
        <v>12</v>
      </c>
      <c r="C10" t="s">
        <v>13</v>
      </c>
      <c r="D10" t="s">
        <v>14</v>
      </c>
    </row>
    <row r="11" spans="1:4" x14ac:dyDescent="0.2">
      <c r="A11" t="s">
        <v>15</v>
      </c>
      <c r="B11" t="str">
        <f>"1001660012267"</f>
        <v>1001660012267</v>
      </c>
      <c r="C11" t="s">
        <v>16</v>
      </c>
      <c r="D11" t="s">
        <v>17</v>
      </c>
    </row>
    <row r="12" spans="1:4" x14ac:dyDescent="0.2">
      <c r="A12" t="s">
        <v>18</v>
      </c>
      <c r="B12" t="str">
        <f>"1001660012266"</f>
        <v>1001660012266</v>
      </c>
      <c r="C12" t="s">
        <v>19</v>
      </c>
      <c r="D12" t="s">
        <v>17</v>
      </c>
    </row>
    <row r="13" spans="1:4" x14ac:dyDescent="0.2">
      <c r="A13" t="s">
        <v>20</v>
      </c>
      <c r="B13" t="str">
        <f>"1001660012265"</f>
        <v>1001660012265</v>
      </c>
      <c r="C13" t="s">
        <v>21</v>
      </c>
      <c r="D13" t="s">
        <v>17</v>
      </c>
    </row>
    <row r="14" spans="1:4" x14ac:dyDescent="0.2">
      <c r="A14" t="s">
        <v>22</v>
      </c>
      <c r="B14" t="str">
        <f>"1001660012264"</f>
        <v>1001660012264</v>
      </c>
      <c r="C14" t="s">
        <v>23</v>
      </c>
      <c r="D14" t="s">
        <v>17</v>
      </c>
    </row>
    <row r="15" spans="1:4" x14ac:dyDescent="0.2">
      <c r="A15" t="s">
        <v>24</v>
      </c>
      <c r="B15" t="str">
        <f>"1001660017941"</f>
        <v>1001660017941</v>
      </c>
      <c r="C15" t="s">
        <v>25</v>
      </c>
      <c r="D15" t="s">
        <v>17</v>
      </c>
    </row>
    <row r="16" spans="1:4" x14ac:dyDescent="0.2">
      <c r="A16" t="s">
        <v>26</v>
      </c>
      <c r="B16" t="str">
        <f>"1001660017944"</f>
        <v>1001660017944</v>
      </c>
      <c r="C16" t="s">
        <v>27</v>
      </c>
      <c r="D16" t="s">
        <v>17</v>
      </c>
    </row>
    <row r="17" spans="1:18" x14ac:dyDescent="0.2">
      <c r="A17" t="s">
        <v>28</v>
      </c>
      <c r="B17" t="str">
        <f>"1001660017943"</f>
        <v>1001660017943</v>
      </c>
      <c r="C17" t="s">
        <v>29</v>
      </c>
      <c r="D17" t="s">
        <v>17</v>
      </c>
    </row>
    <row r="18" spans="1:18" x14ac:dyDescent="0.2">
      <c r="A18" t="s">
        <v>30</v>
      </c>
      <c r="B18" t="str">
        <f>"1001660017942"</f>
        <v>1001660017942</v>
      </c>
      <c r="C18" t="s">
        <v>31</v>
      </c>
      <c r="D18" t="s">
        <v>32</v>
      </c>
    </row>
    <row r="19" spans="1:18" x14ac:dyDescent="0.2">
      <c r="A19" t="s">
        <v>33</v>
      </c>
      <c r="B19">
        <v>49504686</v>
      </c>
    </row>
    <row r="21" spans="1:18" x14ac:dyDescent="0.2">
      <c r="A21" t="s">
        <v>34</v>
      </c>
    </row>
    <row r="22" spans="1:18" x14ac:dyDescent="0.2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 t="s">
        <v>41</v>
      </c>
      <c r="H22" t="s">
        <v>42</v>
      </c>
      <c r="I22" t="s">
        <v>43</v>
      </c>
      <c r="J22" t="s">
        <v>44</v>
      </c>
      <c r="K22" t="s">
        <v>45</v>
      </c>
      <c r="L22" t="s">
        <v>46</v>
      </c>
      <c r="M22" t="s">
        <v>47</v>
      </c>
      <c r="N22" t="s">
        <v>48</v>
      </c>
      <c r="O22" t="s">
        <v>49</v>
      </c>
      <c r="P22" t="s">
        <v>50</v>
      </c>
      <c r="Q22" t="s">
        <v>51</v>
      </c>
      <c r="R22" t="s">
        <v>52</v>
      </c>
    </row>
    <row r="23" spans="1:18" x14ac:dyDescent="0.2">
      <c r="A23" t="s">
        <v>53</v>
      </c>
      <c r="B23" t="s">
        <v>54</v>
      </c>
    </row>
    <row r="24" spans="1:18" x14ac:dyDescent="0.2">
      <c r="A24" t="s">
        <v>55</v>
      </c>
      <c r="B24" t="s">
        <v>56</v>
      </c>
      <c r="C24" t="s">
        <v>56</v>
      </c>
      <c r="D24" t="s">
        <v>52</v>
      </c>
      <c r="E24" t="str">
        <f>"C01R1is"</f>
        <v>C01R1is</v>
      </c>
      <c r="F24" t="s">
        <v>57</v>
      </c>
      <c r="G24" t="s">
        <v>58</v>
      </c>
      <c r="H24" s="2">
        <v>14302.68</v>
      </c>
      <c r="I24" t="s">
        <v>59</v>
      </c>
      <c r="J24">
        <v>189</v>
      </c>
      <c r="K24" t="s">
        <v>60</v>
      </c>
      <c r="L24" t="s">
        <v>61</v>
      </c>
      <c r="M24" t="s">
        <v>62</v>
      </c>
      <c r="N24" t="s">
        <v>63</v>
      </c>
      <c r="O24" t="s">
        <v>64</v>
      </c>
      <c r="P24">
        <v>485</v>
      </c>
      <c r="Q24">
        <v>6598</v>
      </c>
      <c r="R24" t="s">
        <v>65</v>
      </c>
    </row>
    <row r="25" spans="1:18" x14ac:dyDescent="0.2">
      <c r="A25" t="s">
        <v>66</v>
      </c>
      <c r="B25" t="s">
        <v>56</v>
      </c>
      <c r="C25" t="s">
        <v>56</v>
      </c>
      <c r="D25" t="s">
        <v>52</v>
      </c>
      <c r="E25" t="str">
        <f>"C01R1is"</f>
        <v>C01R1is</v>
      </c>
      <c r="F25" t="s">
        <v>67</v>
      </c>
      <c r="G25" t="s">
        <v>68</v>
      </c>
      <c r="H25" s="2">
        <v>33592.11</v>
      </c>
      <c r="I25" t="s">
        <v>69</v>
      </c>
      <c r="J25">
        <v>2189</v>
      </c>
      <c r="K25" t="s">
        <v>60</v>
      </c>
      <c r="L25" t="s">
        <v>61</v>
      </c>
      <c r="M25" t="s">
        <v>62</v>
      </c>
      <c r="N25" t="s">
        <v>63</v>
      </c>
      <c r="O25" t="s">
        <v>64</v>
      </c>
      <c r="P25">
        <v>485</v>
      </c>
      <c r="Q25">
        <v>6598</v>
      </c>
      <c r="R25" t="s">
        <v>65</v>
      </c>
    </row>
    <row r="26" spans="1:18" x14ac:dyDescent="0.2">
      <c r="A26" t="s">
        <v>70</v>
      </c>
      <c r="B26" t="s">
        <v>56</v>
      </c>
      <c r="C26" t="s">
        <v>56</v>
      </c>
      <c r="D26" t="s">
        <v>52</v>
      </c>
      <c r="E26" t="str">
        <f>"C01R2g"</f>
        <v>C01R2g</v>
      </c>
      <c r="F26" t="s">
        <v>71</v>
      </c>
      <c r="G26" t="s">
        <v>72</v>
      </c>
      <c r="H26" s="2">
        <v>308754.13</v>
      </c>
      <c r="I26" t="s">
        <v>73</v>
      </c>
      <c r="J26">
        <v>4703</v>
      </c>
      <c r="K26" t="s">
        <v>74</v>
      </c>
      <c r="L26" t="s">
        <v>75</v>
      </c>
      <c r="M26" t="s">
        <v>62</v>
      </c>
      <c r="N26" t="s">
        <v>63</v>
      </c>
      <c r="O26" t="s">
        <v>64</v>
      </c>
      <c r="P26">
        <v>485</v>
      </c>
      <c r="Q26">
        <v>6598</v>
      </c>
      <c r="R26" t="s">
        <v>65</v>
      </c>
    </row>
    <row r="27" spans="1:18" x14ac:dyDescent="0.2">
      <c r="A27" t="s">
        <v>76</v>
      </c>
      <c r="B27" t="s">
        <v>56</v>
      </c>
      <c r="C27" t="s">
        <v>56</v>
      </c>
      <c r="D27" t="s">
        <v>52</v>
      </c>
      <c r="E27" t="str">
        <f>"C02R1is"</f>
        <v>C02R1is</v>
      </c>
      <c r="F27" t="s">
        <v>57</v>
      </c>
      <c r="G27" t="s">
        <v>58</v>
      </c>
      <c r="H27" s="2">
        <v>8958.65</v>
      </c>
      <c r="I27" t="s">
        <v>59</v>
      </c>
      <c r="J27">
        <v>130</v>
      </c>
      <c r="K27" t="s">
        <v>77</v>
      </c>
      <c r="L27" t="s">
        <v>78</v>
      </c>
      <c r="M27" t="s">
        <v>62</v>
      </c>
      <c r="N27" t="s">
        <v>63</v>
      </c>
      <c r="O27" t="s">
        <v>64</v>
      </c>
      <c r="P27">
        <v>485</v>
      </c>
      <c r="Q27">
        <v>6598</v>
      </c>
      <c r="R27" t="s">
        <v>65</v>
      </c>
    </row>
    <row r="28" spans="1:18" x14ac:dyDescent="0.2">
      <c r="A28" t="s">
        <v>79</v>
      </c>
      <c r="B28" t="s">
        <v>56</v>
      </c>
      <c r="C28" t="s">
        <v>56</v>
      </c>
      <c r="D28" t="s">
        <v>52</v>
      </c>
      <c r="E28" t="str">
        <f>"C02R1is"</f>
        <v>C02R1is</v>
      </c>
      <c r="F28" t="s">
        <v>67</v>
      </c>
      <c r="G28" t="s">
        <v>68</v>
      </c>
      <c r="H28" s="2">
        <v>50796</v>
      </c>
      <c r="I28" t="s">
        <v>69</v>
      </c>
      <c r="J28">
        <v>3393</v>
      </c>
      <c r="K28" t="s">
        <v>77</v>
      </c>
      <c r="L28" t="s">
        <v>78</v>
      </c>
      <c r="M28" t="s">
        <v>62</v>
      </c>
      <c r="N28" t="s">
        <v>63</v>
      </c>
      <c r="O28" t="s">
        <v>64</v>
      </c>
      <c r="P28">
        <v>485</v>
      </c>
      <c r="Q28">
        <v>6598</v>
      </c>
      <c r="R28" t="s">
        <v>65</v>
      </c>
    </row>
    <row r="29" spans="1:18" x14ac:dyDescent="0.2">
      <c r="A29" t="s">
        <v>80</v>
      </c>
      <c r="B29" t="s">
        <v>56</v>
      </c>
      <c r="C29" t="s">
        <v>56</v>
      </c>
      <c r="D29" t="s">
        <v>52</v>
      </c>
      <c r="E29" t="str">
        <f>"C02R2g"</f>
        <v>C02R2g</v>
      </c>
      <c r="F29" t="s">
        <v>71</v>
      </c>
      <c r="G29" t="s">
        <v>72</v>
      </c>
      <c r="H29" s="2">
        <v>267539.33</v>
      </c>
      <c r="I29" t="s">
        <v>73</v>
      </c>
      <c r="J29">
        <v>4096</v>
      </c>
      <c r="K29">
        <v>68131</v>
      </c>
      <c r="L29" t="s">
        <v>81</v>
      </c>
      <c r="M29" t="s">
        <v>62</v>
      </c>
      <c r="N29" t="s">
        <v>63</v>
      </c>
      <c r="O29" t="s">
        <v>64</v>
      </c>
      <c r="P29">
        <v>485</v>
      </c>
      <c r="Q29">
        <v>6598</v>
      </c>
      <c r="R29" t="s">
        <v>65</v>
      </c>
    </row>
    <row r="30" spans="1:18" x14ac:dyDescent="0.2">
      <c r="A30" t="s">
        <v>82</v>
      </c>
      <c r="B30" t="s">
        <v>56</v>
      </c>
      <c r="C30" t="s">
        <v>56</v>
      </c>
      <c r="D30" t="s">
        <v>52</v>
      </c>
      <c r="E30" t="str">
        <f>"C03R1is"</f>
        <v>C03R1is</v>
      </c>
      <c r="F30" t="s">
        <v>57</v>
      </c>
      <c r="G30" t="s">
        <v>58</v>
      </c>
      <c r="H30" s="2">
        <v>19231.990000000002</v>
      </c>
      <c r="I30" t="s">
        <v>59</v>
      </c>
      <c r="J30">
        <v>221</v>
      </c>
      <c r="K30">
        <v>68869</v>
      </c>
      <c r="L30">
        <v>12983</v>
      </c>
      <c r="M30" t="s">
        <v>62</v>
      </c>
      <c r="N30" t="s">
        <v>63</v>
      </c>
      <c r="O30" t="s">
        <v>64</v>
      </c>
      <c r="P30">
        <v>485</v>
      </c>
      <c r="Q30">
        <v>6598</v>
      </c>
      <c r="R30" t="s">
        <v>65</v>
      </c>
    </row>
    <row r="31" spans="1:18" x14ac:dyDescent="0.2">
      <c r="A31" t="s">
        <v>83</v>
      </c>
      <c r="B31" t="s">
        <v>56</v>
      </c>
      <c r="C31" t="s">
        <v>56</v>
      </c>
      <c r="D31" t="s">
        <v>52</v>
      </c>
      <c r="E31" t="str">
        <f>"C03R1is"</f>
        <v>C03R1is</v>
      </c>
      <c r="F31" t="s">
        <v>67</v>
      </c>
      <c r="G31" t="s">
        <v>68</v>
      </c>
      <c r="H31" s="2">
        <v>8982.33</v>
      </c>
      <c r="I31" t="s">
        <v>69</v>
      </c>
      <c r="J31">
        <v>331</v>
      </c>
      <c r="K31">
        <v>68869</v>
      </c>
      <c r="L31">
        <v>12983</v>
      </c>
      <c r="M31" t="s">
        <v>62</v>
      </c>
      <c r="N31" t="s">
        <v>63</v>
      </c>
      <c r="O31" t="s">
        <v>64</v>
      </c>
      <c r="P31">
        <v>485</v>
      </c>
      <c r="Q31">
        <v>6598</v>
      </c>
      <c r="R31" t="s">
        <v>65</v>
      </c>
    </row>
    <row r="32" spans="1:18" x14ac:dyDescent="0.2">
      <c r="A32" t="s">
        <v>84</v>
      </c>
      <c r="B32" t="s">
        <v>56</v>
      </c>
      <c r="C32" t="s">
        <v>56</v>
      </c>
      <c r="D32" t="s">
        <v>52</v>
      </c>
      <c r="E32" t="str">
        <f>"C03R2g"</f>
        <v>C03R2g</v>
      </c>
      <c r="F32" t="s">
        <v>71</v>
      </c>
      <c r="G32" t="s">
        <v>72</v>
      </c>
      <c r="H32" s="2">
        <v>121341.1</v>
      </c>
      <c r="I32" t="s">
        <v>73</v>
      </c>
      <c r="J32">
        <v>445</v>
      </c>
      <c r="K32">
        <v>66715</v>
      </c>
      <c r="L32">
        <v>13573</v>
      </c>
      <c r="M32" t="s">
        <v>62</v>
      </c>
      <c r="N32" t="s">
        <v>63</v>
      </c>
      <c r="O32" t="s">
        <v>64</v>
      </c>
      <c r="P32">
        <v>485</v>
      </c>
      <c r="Q32">
        <v>6598</v>
      </c>
      <c r="R32" t="s">
        <v>65</v>
      </c>
    </row>
    <row r="33" spans="1:18" x14ac:dyDescent="0.2">
      <c r="A33" t="s">
        <v>85</v>
      </c>
      <c r="B33" t="s">
        <v>56</v>
      </c>
      <c r="C33" t="s">
        <v>56</v>
      </c>
      <c r="D33" t="s">
        <v>52</v>
      </c>
      <c r="E33" t="str">
        <f>"C04R1is"</f>
        <v>C04R1is</v>
      </c>
      <c r="F33" t="s">
        <v>57</v>
      </c>
      <c r="G33" t="s">
        <v>58</v>
      </c>
      <c r="H33" s="2">
        <v>22206.48</v>
      </c>
      <c r="I33" t="s">
        <v>59</v>
      </c>
      <c r="J33">
        <v>310</v>
      </c>
      <c r="K33">
        <v>67410</v>
      </c>
      <c r="L33">
        <v>7980</v>
      </c>
      <c r="M33" t="s">
        <v>62</v>
      </c>
      <c r="N33" t="s">
        <v>63</v>
      </c>
      <c r="O33" t="s">
        <v>64</v>
      </c>
      <c r="P33">
        <v>485</v>
      </c>
      <c r="Q33">
        <v>6598</v>
      </c>
      <c r="R33" t="s">
        <v>65</v>
      </c>
    </row>
    <row r="34" spans="1:18" x14ac:dyDescent="0.2">
      <c r="A34" t="s">
        <v>86</v>
      </c>
      <c r="B34" t="s">
        <v>56</v>
      </c>
      <c r="C34" t="s">
        <v>56</v>
      </c>
      <c r="D34" t="s">
        <v>52</v>
      </c>
      <c r="E34" t="str">
        <f>"C04R1is"</f>
        <v>C04R1is</v>
      </c>
      <c r="F34" t="s">
        <v>67</v>
      </c>
      <c r="G34" t="s">
        <v>68</v>
      </c>
      <c r="H34" s="2">
        <v>7020.78</v>
      </c>
      <c r="I34" t="s">
        <v>69</v>
      </c>
      <c r="J34">
        <v>282</v>
      </c>
      <c r="K34">
        <v>67410</v>
      </c>
      <c r="L34">
        <v>7980</v>
      </c>
      <c r="M34" t="s">
        <v>62</v>
      </c>
      <c r="N34" t="s">
        <v>63</v>
      </c>
      <c r="O34" t="s">
        <v>64</v>
      </c>
      <c r="P34">
        <v>485</v>
      </c>
      <c r="Q34">
        <v>6598</v>
      </c>
      <c r="R34" t="s">
        <v>65</v>
      </c>
    </row>
    <row r="35" spans="1:18" x14ac:dyDescent="0.2">
      <c r="A35" t="s">
        <v>87</v>
      </c>
      <c r="B35" t="s">
        <v>56</v>
      </c>
      <c r="C35" t="s">
        <v>56</v>
      </c>
      <c r="D35" t="s">
        <v>52</v>
      </c>
      <c r="E35" t="str">
        <f>"C04R2g"</f>
        <v>C04R2g</v>
      </c>
      <c r="F35" t="s">
        <v>71</v>
      </c>
      <c r="G35" t="s">
        <v>72</v>
      </c>
      <c r="H35" s="2">
        <v>33470.04</v>
      </c>
      <c r="I35" t="s">
        <v>73</v>
      </c>
      <c r="J35">
        <v>296</v>
      </c>
      <c r="K35">
        <v>69393</v>
      </c>
      <c r="L35">
        <v>7609</v>
      </c>
      <c r="M35" t="s">
        <v>62</v>
      </c>
      <c r="N35" t="s">
        <v>63</v>
      </c>
      <c r="O35" t="s">
        <v>64</v>
      </c>
      <c r="P35">
        <v>485</v>
      </c>
      <c r="Q35">
        <v>6598</v>
      </c>
      <c r="R35" t="s">
        <v>65</v>
      </c>
    </row>
    <row r="36" spans="1:18" x14ac:dyDescent="0.2">
      <c r="A36" t="s">
        <v>88</v>
      </c>
      <c r="B36" t="s">
        <v>56</v>
      </c>
      <c r="C36" t="s">
        <v>56</v>
      </c>
      <c r="D36" t="s">
        <v>52</v>
      </c>
      <c r="E36" t="str">
        <f>"C05R1is"</f>
        <v>C05R1is</v>
      </c>
      <c r="F36" t="s">
        <v>57</v>
      </c>
      <c r="G36" t="s">
        <v>58</v>
      </c>
      <c r="H36" s="2">
        <v>13451.34</v>
      </c>
      <c r="I36" t="s">
        <v>59</v>
      </c>
      <c r="J36">
        <v>195</v>
      </c>
      <c r="K36">
        <v>60815</v>
      </c>
      <c r="L36">
        <v>27723</v>
      </c>
      <c r="M36" t="s">
        <v>62</v>
      </c>
      <c r="N36" t="s">
        <v>63</v>
      </c>
      <c r="O36" t="s">
        <v>64</v>
      </c>
      <c r="P36">
        <v>485</v>
      </c>
      <c r="Q36">
        <v>6598</v>
      </c>
      <c r="R36" t="s">
        <v>65</v>
      </c>
    </row>
    <row r="37" spans="1:18" x14ac:dyDescent="0.2">
      <c r="A37" t="s">
        <v>89</v>
      </c>
      <c r="B37" t="s">
        <v>56</v>
      </c>
      <c r="C37" t="s">
        <v>56</v>
      </c>
      <c r="D37" t="s">
        <v>52</v>
      </c>
      <c r="E37" t="str">
        <f>"C05R1is"</f>
        <v>C05R1is</v>
      </c>
      <c r="F37" t="s">
        <v>67</v>
      </c>
      <c r="G37" t="s">
        <v>68</v>
      </c>
      <c r="H37" s="2">
        <v>9330.64</v>
      </c>
      <c r="I37" t="s">
        <v>69</v>
      </c>
      <c r="J37">
        <v>641</v>
      </c>
      <c r="K37">
        <v>60815</v>
      </c>
      <c r="L37">
        <v>27723</v>
      </c>
      <c r="M37" t="s">
        <v>62</v>
      </c>
      <c r="N37" t="s">
        <v>63</v>
      </c>
      <c r="O37" t="s">
        <v>64</v>
      </c>
      <c r="P37">
        <v>485</v>
      </c>
      <c r="Q37">
        <v>6598</v>
      </c>
      <c r="R37" t="s">
        <v>65</v>
      </c>
    </row>
    <row r="38" spans="1:18" x14ac:dyDescent="0.2">
      <c r="A38" t="s">
        <v>90</v>
      </c>
      <c r="B38" t="s">
        <v>56</v>
      </c>
      <c r="C38" t="s">
        <v>56</v>
      </c>
      <c r="D38" t="s">
        <v>52</v>
      </c>
      <c r="E38" t="str">
        <f>"C05R2g"</f>
        <v>C05R2g</v>
      </c>
      <c r="F38" t="s">
        <v>71</v>
      </c>
      <c r="G38" t="s">
        <v>72</v>
      </c>
      <c r="H38" s="2">
        <v>276074.48</v>
      </c>
      <c r="I38" t="s">
        <v>73</v>
      </c>
      <c r="J38">
        <v>2736</v>
      </c>
      <c r="K38" t="s">
        <v>91</v>
      </c>
      <c r="L38" t="s">
        <v>92</v>
      </c>
      <c r="M38" t="s">
        <v>62</v>
      </c>
      <c r="N38" t="s">
        <v>63</v>
      </c>
      <c r="O38" t="s">
        <v>64</v>
      </c>
      <c r="P38">
        <v>485</v>
      </c>
      <c r="Q38">
        <v>6598</v>
      </c>
      <c r="R38" t="s">
        <v>65</v>
      </c>
    </row>
    <row r="39" spans="1:18" x14ac:dyDescent="0.2">
      <c r="A39" t="s">
        <v>93</v>
      </c>
      <c r="B39" t="s">
        <v>56</v>
      </c>
      <c r="C39" t="s">
        <v>56</v>
      </c>
      <c r="D39" t="s">
        <v>52</v>
      </c>
      <c r="E39" t="str">
        <f>"C06R1is"</f>
        <v>C06R1is</v>
      </c>
      <c r="F39" t="s">
        <v>57</v>
      </c>
      <c r="G39" t="s">
        <v>58</v>
      </c>
      <c r="H39" s="2">
        <v>16062.63</v>
      </c>
      <c r="I39" t="s">
        <v>59</v>
      </c>
      <c r="J39">
        <v>192</v>
      </c>
      <c r="K39" t="s">
        <v>94</v>
      </c>
      <c r="L39" t="s">
        <v>95</v>
      </c>
      <c r="M39" t="s">
        <v>62</v>
      </c>
      <c r="N39" t="s">
        <v>63</v>
      </c>
      <c r="O39" t="s">
        <v>64</v>
      </c>
      <c r="P39">
        <v>485</v>
      </c>
      <c r="Q39">
        <v>6598</v>
      </c>
      <c r="R39" t="s">
        <v>65</v>
      </c>
    </row>
    <row r="40" spans="1:18" x14ac:dyDescent="0.2">
      <c r="A40" t="s">
        <v>96</v>
      </c>
      <c r="B40" t="s">
        <v>56</v>
      </c>
      <c r="C40" t="s">
        <v>56</v>
      </c>
      <c r="D40" t="s">
        <v>52</v>
      </c>
      <c r="E40" t="str">
        <f>"C06R1is"</f>
        <v>C06R1is</v>
      </c>
      <c r="F40" t="s">
        <v>67</v>
      </c>
      <c r="G40" t="s">
        <v>68</v>
      </c>
      <c r="H40" s="2">
        <v>37096.980000000003</v>
      </c>
      <c r="I40" t="s">
        <v>69</v>
      </c>
      <c r="J40">
        <v>2553</v>
      </c>
      <c r="K40" t="s">
        <v>94</v>
      </c>
      <c r="L40" t="s">
        <v>95</v>
      </c>
      <c r="M40" t="s">
        <v>62</v>
      </c>
      <c r="N40" t="s">
        <v>63</v>
      </c>
      <c r="O40" t="s">
        <v>64</v>
      </c>
      <c r="P40">
        <v>485</v>
      </c>
      <c r="Q40">
        <v>6598</v>
      </c>
      <c r="R40" t="s">
        <v>65</v>
      </c>
    </row>
    <row r="41" spans="1:18" x14ac:dyDescent="0.2">
      <c r="A41" t="s">
        <v>97</v>
      </c>
      <c r="B41" t="s">
        <v>56</v>
      </c>
      <c r="C41" t="s">
        <v>56</v>
      </c>
      <c r="D41" t="s">
        <v>52</v>
      </c>
      <c r="E41" t="str">
        <f>"C06R2g"</f>
        <v>C06R2g</v>
      </c>
      <c r="F41" t="s">
        <v>71</v>
      </c>
      <c r="G41" t="s">
        <v>72</v>
      </c>
      <c r="H41" s="2">
        <v>282527.90999999997</v>
      </c>
      <c r="I41" t="s">
        <v>73</v>
      </c>
      <c r="J41">
        <v>4804</v>
      </c>
      <c r="K41" t="s">
        <v>98</v>
      </c>
      <c r="L41" t="s">
        <v>99</v>
      </c>
      <c r="M41" t="s">
        <v>62</v>
      </c>
      <c r="N41" t="s">
        <v>63</v>
      </c>
      <c r="O41" t="s">
        <v>64</v>
      </c>
      <c r="P41">
        <v>485</v>
      </c>
      <c r="Q41">
        <v>6598</v>
      </c>
      <c r="R41" t="s">
        <v>65</v>
      </c>
    </row>
    <row r="42" spans="1:18" x14ac:dyDescent="0.2">
      <c r="A42" t="s">
        <v>100</v>
      </c>
      <c r="B42" t="s">
        <v>56</v>
      </c>
      <c r="C42" t="s">
        <v>56</v>
      </c>
      <c r="D42" t="s">
        <v>52</v>
      </c>
      <c r="E42" t="str">
        <f>"C07R1is"</f>
        <v>C07R1is</v>
      </c>
      <c r="F42" t="s">
        <v>57</v>
      </c>
      <c r="G42" t="s">
        <v>58</v>
      </c>
      <c r="H42" s="2">
        <v>15499.93</v>
      </c>
      <c r="I42" t="s">
        <v>59</v>
      </c>
      <c r="J42">
        <v>134</v>
      </c>
      <c r="K42" t="s">
        <v>101</v>
      </c>
      <c r="L42" t="s">
        <v>102</v>
      </c>
      <c r="M42" t="s">
        <v>62</v>
      </c>
      <c r="N42" t="s">
        <v>63</v>
      </c>
      <c r="O42" t="s">
        <v>64</v>
      </c>
      <c r="P42">
        <v>485</v>
      </c>
      <c r="Q42">
        <v>6598</v>
      </c>
      <c r="R42" t="s">
        <v>65</v>
      </c>
    </row>
    <row r="43" spans="1:18" x14ac:dyDescent="0.2">
      <c r="A43" t="s">
        <v>103</v>
      </c>
      <c r="B43" t="s">
        <v>56</v>
      </c>
      <c r="C43" t="s">
        <v>56</v>
      </c>
      <c r="D43" t="s">
        <v>52</v>
      </c>
      <c r="E43" t="str">
        <f>"C07R1is"</f>
        <v>C07R1is</v>
      </c>
      <c r="F43" t="s">
        <v>67</v>
      </c>
      <c r="G43" t="s">
        <v>68</v>
      </c>
      <c r="H43" s="2">
        <v>5300.03</v>
      </c>
      <c r="I43" t="s">
        <v>69</v>
      </c>
      <c r="J43">
        <v>482</v>
      </c>
      <c r="K43" t="s">
        <v>101</v>
      </c>
      <c r="L43" t="s">
        <v>102</v>
      </c>
      <c r="M43" t="s">
        <v>62</v>
      </c>
      <c r="N43" t="s">
        <v>63</v>
      </c>
      <c r="O43" t="s">
        <v>64</v>
      </c>
      <c r="P43">
        <v>485</v>
      </c>
      <c r="Q43">
        <v>6598</v>
      </c>
      <c r="R43" t="s">
        <v>65</v>
      </c>
    </row>
    <row r="44" spans="1:18" x14ac:dyDescent="0.2">
      <c r="A44" t="s">
        <v>104</v>
      </c>
      <c r="B44" t="s">
        <v>56</v>
      </c>
      <c r="C44" t="s">
        <v>56</v>
      </c>
      <c r="D44" t="s">
        <v>52</v>
      </c>
      <c r="E44" t="str">
        <f>"C07R2g"</f>
        <v>C07R2g</v>
      </c>
      <c r="F44" t="s">
        <v>71</v>
      </c>
      <c r="G44" t="s">
        <v>72</v>
      </c>
      <c r="H44" s="2">
        <v>290507.87</v>
      </c>
      <c r="I44" t="s">
        <v>73</v>
      </c>
      <c r="J44">
        <v>1698</v>
      </c>
      <c r="K44" t="s">
        <v>105</v>
      </c>
      <c r="L44" t="s">
        <v>106</v>
      </c>
      <c r="M44" t="s">
        <v>62</v>
      </c>
      <c r="N44" t="s">
        <v>63</v>
      </c>
      <c r="O44" t="s">
        <v>64</v>
      </c>
      <c r="P44">
        <v>485</v>
      </c>
      <c r="Q44">
        <v>6598</v>
      </c>
      <c r="R44" t="s">
        <v>65</v>
      </c>
    </row>
    <row r="45" spans="1:18" x14ac:dyDescent="0.2">
      <c r="A45" t="s">
        <v>107</v>
      </c>
      <c r="B45" t="s">
        <v>56</v>
      </c>
      <c r="C45" t="s">
        <v>56</v>
      </c>
      <c r="D45" t="s">
        <v>52</v>
      </c>
      <c r="E45" t="str">
        <f>"C08R1is"</f>
        <v>C08R1is</v>
      </c>
      <c r="F45" t="s">
        <v>57</v>
      </c>
      <c r="G45" t="s">
        <v>58</v>
      </c>
      <c r="H45" s="2">
        <v>21812.41</v>
      </c>
      <c r="I45" t="s">
        <v>59</v>
      </c>
      <c r="J45">
        <v>215</v>
      </c>
      <c r="K45">
        <v>61915</v>
      </c>
      <c r="L45">
        <v>8158</v>
      </c>
      <c r="M45" t="s">
        <v>62</v>
      </c>
      <c r="N45" t="s">
        <v>63</v>
      </c>
      <c r="O45" t="s">
        <v>64</v>
      </c>
      <c r="P45">
        <v>485</v>
      </c>
      <c r="Q45">
        <v>6598</v>
      </c>
      <c r="R45" t="s">
        <v>65</v>
      </c>
    </row>
    <row r="46" spans="1:18" x14ac:dyDescent="0.2">
      <c r="A46" t="s">
        <v>108</v>
      </c>
      <c r="B46" t="s">
        <v>56</v>
      </c>
      <c r="C46" t="s">
        <v>56</v>
      </c>
      <c r="D46" t="s">
        <v>52</v>
      </c>
      <c r="E46" t="str">
        <f>"C08R1is"</f>
        <v>C08R1is</v>
      </c>
      <c r="F46" t="s">
        <v>67</v>
      </c>
      <c r="G46" t="s">
        <v>68</v>
      </c>
      <c r="H46" s="2">
        <v>2228.1</v>
      </c>
      <c r="I46" t="s">
        <v>69</v>
      </c>
      <c r="J46">
        <v>181</v>
      </c>
      <c r="K46">
        <v>61915</v>
      </c>
      <c r="L46">
        <v>8158</v>
      </c>
      <c r="M46" t="s">
        <v>62</v>
      </c>
      <c r="N46" t="s">
        <v>63</v>
      </c>
      <c r="O46" t="s">
        <v>64</v>
      </c>
      <c r="P46">
        <v>485</v>
      </c>
      <c r="Q46">
        <v>6598</v>
      </c>
      <c r="R46" t="s">
        <v>65</v>
      </c>
    </row>
    <row r="47" spans="1:18" x14ac:dyDescent="0.2">
      <c r="A47" t="s">
        <v>109</v>
      </c>
      <c r="B47" t="s">
        <v>56</v>
      </c>
      <c r="C47" t="s">
        <v>56</v>
      </c>
      <c r="D47" t="s">
        <v>52</v>
      </c>
      <c r="E47" t="str">
        <f>"C08R2g"</f>
        <v>C08R2g</v>
      </c>
      <c r="F47" t="s">
        <v>71</v>
      </c>
      <c r="G47" t="s">
        <v>72</v>
      </c>
      <c r="H47" s="2">
        <v>214938.58</v>
      </c>
      <c r="I47" t="s">
        <v>73</v>
      </c>
      <c r="J47">
        <v>1163</v>
      </c>
      <c r="K47">
        <v>63066</v>
      </c>
      <c r="L47">
        <v>7556</v>
      </c>
      <c r="M47" t="s">
        <v>62</v>
      </c>
      <c r="N47" t="s">
        <v>63</v>
      </c>
      <c r="O47" t="s">
        <v>64</v>
      </c>
      <c r="P47">
        <v>485</v>
      </c>
      <c r="Q47">
        <v>6598</v>
      </c>
      <c r="R47" t="s">
        <v>65</v>
      </c>
    </row>
    <row r="48" spans="1:18" x14ac:dyDescent="0.2">
      <c r="A48" t="s">
        <v>110</v>
      </c>
      <c r="B48" t="s">
        <v>56</v>
      </c>
      <c r="C48" t="s">
        <v>56</v>
      </c>
      <c r="D48" t="s">
        <v>52</v>
      </c>
      <c r="E48" t="str">
        <f>"C09R1is"</f>
        <v>C09R1is</v>
      </c>
      <c r="F48" t="s">
        <v>57</v>
      </c>
      <c r="G48" t="s">
        <v>58</v>
      </c>
      <c r="H48" s="2">
        <v>17652.189999999999</v>
      </c>
      <c r="I48" t="s">
        <v>59</v>
      </c>
      <c r="J48">
        <v>218</v>
      </c>
      <c r="K48">
        <v>54982</v>
      </c>
      <c r="L48">
        <v>26429</v>
      </c>
      <c r="M48" t="s">
        <v>62</v>
      </c>
      <c r="N48" t="s">
        <v>63</v>
      </c>
      <c r="O48" t="s">
        <v>64</v>
      </c>
      <c r="P48">
        <v>485</v>
      </c>
      <c r="Q48">
        <v>6598</v>
      </c>
      <c r="R48" t="s">
        <v>65</v>
      </c>
    </row>
    <row r="49" spans="1:18" x14ac:dyDescent="0.2">
      <c r="A49" t="s">
        <v>111</v>
      </c>
      <c r="B49" t="s">
        <v>56</v>
      </c>
      <c r="C49" t="s">
        <v>56</v>
      </c>
      <c r="D49" t="s">
        <v>52</v>
      </c>
      <c r="E49" t="str">
        <f>"C09R1is"</f>
        <v>C09R1is</v>
      </c>
      <c r="F49" t="s">
        <v>67</v>
      </c>
      <c r="G49" t="s">
        <v>68</v>
      </c>
      <c r="H49" s="2">
        <v>47563.76</v>
      </c>
      <c r="I49" t="s">
        <v>69</v>
      </c>
      <c r="J49">
        <v>2173</v>
      </c>
      <c r="K49">
        <v>54982</v>
      </c>
      <c r="L49">
        <v>26429</v>
      </c>
      <c r="M49" t="s">
        <v>62</v>
      </c>
      <c r="N49" t="s">
        <v>63</v>
      </c>
      <c r="O49" t="s">
        <v>64</v>
      </c>
      <c r="P49">
        <v>485</v>
      </c>
      <c r="Q49">
        <v>6598</v>
      </c>
      <c r="R49" t="s">
        <v>65</v>
      </c>
    </row>
    <row r="50" spans="1:18" x14ac:dyDescent="0.2">
      <c r="A50" t="s">
        <v>112</v>
      </c>
      <c r="B50" t="s">
        <v>56</v>
      </c>
      <c r="C50" t="s">
        <v>56</v>
      </c>
      <c r="D50" t="s">
        <v>52</v>
      </c>
      <c r="E50" t="str">
        <f>"C09R2ig"</f>
        <v>C09R2ig</v>
      </c>
      <c r="F50" t="s">
        <v>57</v>
      </c>
      <c r="G50" t="s">
        <v>58</v>
      </c>
      <c r="H50" s="2">
        <v>1659.48</v>
      </c>
      <c r="I50" t="s">
        <v>113</v>
      </c>
      <c r="J50">
        <v>40</v>
      </c>
      <c r="K50">
        <v>55960</v>
      </c>
      <c r="L50">
        <v>25669</v>
      </c>
      <c r="M50" t="s">
        <v>62</v>
      </c>
      <c r="N50" t="s">
        <v>63</v>
      </c>
      <c r="O50" t="s">
        <v>64</v>
      </c>
      <c r="P50">
        <v>485</v>
      </c>
      <c r="Q50">
        <v>6598</v>
      </c>
      <c r="R50" t="s">
        <v>65</v>
      </c>
    </row>
    <row r="51" spans="1:18" x14ac:dyDescent="0.2">
      <c r="A51" t="s">
        <v>114</v>
      </c>
      <c r="B51" t="s">
        <v>56</v>
      </c>
      <c r="C51" t="s">
        <v>56</v>
      </c>
      <c r="D51" t="s">
        <v>52</v>
      </c>
      <c r="E51" t="str">
        <f>"C09R2ig"</f>
        <v>C09R2ig</v>
      </c>
      <c r="F51" t="s">
        <v>71</v>
      </c>
      <c r="G51" t="s">
        <v>72</v>
      </c>
      <c r="H51" s="2">
        <v>142234.32999999999</v>
      </c>
      <c r="I51" t="s">
        <v>73</v>
      </c>
      <c r="J51">
        <v>1094</v>
      </c>
      <c r="K51">
        <v>55960</v>
      </c>
      <c r="L51">
        <v>25669</v>
      </c>
      <c r="M51" t="s">
        <v>62</v>
      </c>
      <c r="N51" t="s">
        <v>63</v>
      </c>
      <c r="O51" t="s">
        <v>64</v>
      </c>
      <c r="P51">
        <v>485</v>
      </c>
      <c r="Q51">
        <v>6598</v>
      </c>
      <c r="R51" t="s">
        <v>65</v>
      </c>
    </row>
    <row r="52" spans="1:18" x14ac:dyDescent="0.2">
      <c r="A52" t="s">
        <v>115</v>
      </c>
      <c r="B52" t="s">
        <v>56</v>
      </c>
      <c r="C52" t="s">
        <v>56</v>
      </c>
      <c r="D52" t="s">
        <v>52</v>
      </c>
      <c r="E52" t="str">
        <f>"C10R1is"</f>
        <v>C10R1is</v>
      </c>
      <c r="F52" t="s">
        <v>57</v>
      </c>
      <c r="G52" t="s">
        <v>58</v>
      </c>
      <c r="H52" s="2">
        <v>13770.53</v>
      </c>
      <c r="I52" t="s">
        <v>59</v>
      </c>
      <c r="J52">
        <v>138</v>
      </c>
      <c r="K52">
        <v>54970</v>
      </c>
      <c r="L52">
        <v>19352</v>
      </c>
      <c r="M52" t="s">
        <v>62</v>
      </c>
      <c r="N52" t="s">
        <v>63</v>
      </c>
      <c r="O52" t="s">
        <v>64</v>
      </c>
      <c r="P52">
        <v>485</v>
      </c>
      <c r="Q52">
        <v>6598</v>
      </c>
      <c r="R52" t="s">
        <v>65</v>
      </c>
    </row>
    <row r="53" spans="1:18" x14ac:dyDescent="0.2">
      <c r="A53" t="s">
        <v>116</v>
      </c>
      <c r="B53" t="s">
        <v>56</v>
      </c>
      <c r="C53" t="s">
        <v>56</v>
      </c>
      <c r="D53" t="s">
        <v>52</v>
      </c>
      <c r="E53" t="str">
        <f>"C10R1is"</f>
        <v>C10R1is</v>
      </c>
      <c r="F53" t="s">
        <v>67</v>
      </c>
      <c r="G53" t="s">
        <v>68</v>
      </c>
      <c r="H53" s="2">
        <v>14715.63</v>
      </c>
      <c r="I53" t="s">
        <v>69</v>
      </c>
      <c r="J53">
        <v>855</v>
      </c>
      <c r="K53">
        <v>54970</v>
      </c>
      <c r="L53">
        <v>19352</v>
      </c>
      <c r="M53" t="s">
        <v>62</v>
      </c>
      <c r="N53" t="s">
        <v>63</v>
      </c>
      <c r="O53" t="s">
        <v>64</v>
      </c>
      <c r="P53">
        <v>485</v>
      </c>
      <c r="Q53">
        <v>6598</v>
      </c>
      <c r="R53" t="s">
        <v>65</v>
      </c>
    </row>
    <row r="54" spans="1:18" x14ac:dyDescent="0.2">
      <c r="A54" t="s">
        <v>117</v>
      </c>
      <c r="B54" t="s">
        <v>56</v>
      </c>
      <c r="C54" t="s">
        <v>56</v>
      </c>
      <c r="D54" t="s">
        <v>52</v>
      </c>
      <c r="E54" t="str">
        <f>"C10R2g"</f>
        <v>C10R2g</v>
      </c>
      <c r="F54" t="s">
        <v>71</v>
      </c>
      <c r="G54" t="s">
        <v>72</v>
      </c>
      <c r="H54" s="2">
        <v>127335.99</v>
      </c>
      <c r="I54" t="s">
        <v>73</v>
      </c>
      <c r="J54">
        <v>1649</v>
      </c>
      <c r="K54">
        <v>56354</v>
      </c>
      <c r="L54">
        <v>18782</v>
      </c>
      <c r="M54" t="s">
        <v>62</v>
      </c>
      <c r="N54" t="s">
        <v>63</v>
      </c>
      <c r="O54" t="s">
        <v>64</v>
      </c>
      <c r="P54">
        <v>485</v>
      </c>
      <c r="Q54">
        <v>6598</v>
      </c>
      <c r="R54" t="s">
        <v>65</v>
      </c>
    </row>
    <row r="55" spans="1:18" x14ac:dyDescent="0.2">
      <c r="A55" t="s">
        <v>118</v>
      </c>
      <c r="B55" t="s">
        <v>56</v>
      </c>
      <c r="C55" t="s">
        <v>56</v>
      </c>
      <c r="D55" t="s">
        <v>52</v>
      </c>
      <c r="E55" t="str">
        <f>"C11R1is"</f>
        <v>C11R1is</v>
      </c>
      <c r="F55" t="s">
        <v>57</v>
      </c>
      <c r="G55" t="s">
        <v>58</v>
      </c>
      <c r="H55" s="2">
        <v>39180.769999999997</v>
      </c>
      <c r="I55" t="s">
        <v>59</v>
      </c>
      <c r="J55">
        <v>307</v>
      </c>
      <c r="K55" t="s">
        <v>119</v>
      </c>
      <c r="L55" t="s">
        <v>120</v>
      </c>
      <c r="M55" t="s">
        <v>62</v>
      </c>
      <c r="N55" t="s">
        <v>63</v>
      </c>
      <c r="O55" t="s">
        <v>64</v>
      </c>
      <c r="P55">
        <v>485</v>
      </c>
      <c r="Q55">
        <v>6598</v>
      </c>
      <c r="R55" t="s">
        <v>65</v>
      </c>
    </row>
    <row r="56" spans="1:18" x14ac:dyDescent="0.2">
      <c r="A56" t="s">
        <v>121</v>
      </c>
      <c r="B56" t="s">
        <v>56</v>
      </c>
      <c r="C56" t="s">
        <v>56</v>
      </c>
      <c r="D56" t="s">
        <v>52</v>
      </c>
      <c r="E56" t="str">
        <f>"C11R1is"</f>
        <v>C11R1is</v>
      </c>
      <c r="F56" t="s">
        <v>67</v>
      </c>
      <c r="G56" t="s">
        <v>68</v>
      </c>
      <c r="H56" s="2">
        <v>18668.810000000001</v>
      </c>
      <c r="I56" t="s">
        <v>69</v>
      </c>
      <c r="J56">
        <v>586</v>
      </c>
      <c r="K56" t="s">
        <v>119</v>
      </c>
      <c r="L56" t="s">
        <v>120</v>
      </c>
      <c r="M56" t="s">
        <v>62</v>
      </c>
      <c r="N56" t="s">
        <v>63</v>
      </c>
      <c r="O56" t="s">
        <v>64</v>
      </c>
      <c r="P56">
        <v>485</v>
      </c>
      <c r="Q56">
        <v>6598</v>
      </c>
      <c r="R56" t="s">
        <v>65</v>
      </c>
    </row>
    <row r="57" spans="1:18" x14ac:dyDescent="0.2">
      <c r="A57" t="s">
        <v>122</v>
      </c>
      <c r="B57" t="s">
        <v>56</v>
      </c>
      <c r="C57" t="s">
        <v>56</v>
      </c>
      <c r="D57" t="s">
        <v>52</v>
      </c>
      <c r="E57" t="str">
        <f>"C11R2ig"</f>
        <v>C11R2ig</v>
      </c>
      <c r="F57" t="s">
        <v>57</v>
      </c>
      <c r="G57" t="s">
        <v>58</v>
      </c>
      <c r="H57" s="2">
        <v>36407.56</v>
      </c>
      <c r="I57" t="s">
        <v>113</v>
      </c>
      <c r="J57">
        <v>278</v>
      </c>
      <c r="K57" t="s">
        <v>123</v>
      </c>
      <c r="L57" t="s">
        <v>124</v>
      </c>
      <c r="M57" t="s">
        <v>62</v>
      </c>
      <c r="N57" t="s">
        <v>63</v>
      </c>
      <c r="O57" t="s">
        <v>64</v>
      </c>
      <c r="P57">
        <v>485</v>
      </c>
      <c r="Q57">
        <v>6598</v>
      </c>
      <c r="R57" t="s">
        <v>65</v>
      </c>
    </row>
    <row r="58" spans="1:18" x14ac:dyDescent="0.2">
      <c r="A58" t="s">
        <v>125</v>
      </c>
      <c r="B58" t="s">
        <v>56</v>
      </c>
      <c r="C58" t="s">
        <v>56</v>
      </c>
      <c r="D58" t="s">
        <v>52</v>
      </c>
      <c r="E58" t="str">
        <f>"C11R2ig"</f>
        <v>C11R2ig</v>
      </c>
      <c r="F58" t="s">
        <v>71</v>
      </c>
      <c r="G58" t="s">
        <v>72</v>
      </c>
      <c r="H58" s="2">
        <v>268661.7</v>
      </c>
      <c r="I58" t="s">
        <v>73</v>
      </c>
      <c r="J58">
        <v>1249</v>
      </c>
      <c r="K58" t="s">
        <v>123</v>
      </c>
      <c r="L58" t="s">
        <v>124</v>
      </c>
      <c r="M58" t="s">
        <v>62</v>
      </c>
      <c r="N58" t="s">
        <v>63</v>
      </c>
      <c r="O58" t="s">
        <v>64</v>
      </c>
      <c r="P58">
        <v>485</v>
      </c>
      <c r="Q58">
        <v>6598</v>
      </c>
      <c r="R58" t="s">
        <v>65</v>
      </c>
    </row>
    <row r="59" spans="1:18" x14ac:dyDescent="0.2">
      <c r="A59" t="s">
        <v>126</v>
      </c>
      <c r="B59" t="s">
        <v>56</v>
      </c>
      <c r="C59" t="s">
        <v>56</v>
      </c>
      <c r="D59" t="s">
        <v>52</v>
      </c>
      <c r="E59" t="str">
        <f>"C12R1is"</f>
        <v>C12R1is</v>
      </c>
      <c r="F59" t="s">
        <v>57</v>
      </c>
      <c r="G59" t="s">
        <v>58</v>
      </c>
      <c r="H59" s="2">
        <v>30616.83</v>
      </c>
      <c r="I59" t="s">
        <v>59</v>
      </c>
      <c r="J59">
        <v>255</v>
      </c>
      <c r="K59" t="s">
        <v>127</v>
      </c>
      <c r="L59" t="s">
        <v>128</v>
      </c>
      <c r="M59" t="s">
        <v>62</v>
      </c>
      <c r="N59" t="s">
        <v>63</v>
      </c>
      <c r="O59" t="s">
        <v>64</v>
      </c>
      <c r="P59">
        <v>485</v>
      </c>
      <c r="Q59">
        <v>6598</v>
      </c>
      <c r="R59" t="s">
        <v>65</v>
      </c>
    </row>
    <row r="60" spans="1:18" x14ac:dyDescent="0.2">
      <c r="A60" t="s">
        <v>129</v>
      </c>
      <c r="B60" t="s">
        <v>56</v>
      </c>
      <c r="C60" t="s">
        <v>56</v>
      </c>
      <c r="D60" t="s">
        <v>52</v>
      </c>
      <c r="E60" t="str">
        <f>"C12R1is"</f>
        <v>C12R1is</v>
      </c>
      <c r="F60" t="s">
        <v>67</v>
      </c>
      <c r="G60" t="s">
        <v>68</v>
      </c>
      <c r="H60" s="2">
        <v>4998.59</v>
      </c>
      <c r="I60" t="s">
        <v>69</v>
      </c>
      <c r="J60">
        <v>215</v>
      </c>
      <c r="K60" t="s">
        <v>127</v>
      </c>
      <c r="L60" t="s">
        <v>128</v>
      </c>
      <c r="M60" t="s">
        <v>62</v>
      </c>
      <c r="N60" t="s">
        <v>63</v>
      </c>
      <c r="O60" t="s">
        <v>64</v>
      </c>
      <c r="P60">
        <v>485</v>
      </c>
      <c r="Q60">
        <v>6598</v>
      </c>
      <c r="R60" t="s">
        <v>65</v>
      </c>
    </row>
    <row r="61" spans="1:18" x14ac:dyDescent="0.2">
      <c r="A61" t="s">
        <v>130</v>
      </c>
      <c r="B61" t="s">
        <v>56</v>
      </c>
      <c r="C61" t="s">
        <v>56</v>
      </c>
      <c r="D61" t="s">
        <v>52</v>
      </c>
      <c r="E61" t="str">
        <f>"C12R2ig"</f>
        <v>C12R2ig</v>
      </c>
      <c r="F61" t="s">
        <v>57</v>
      </c>
      <c r="G61" t="s">
        <v>58</v>
      </c>
      <c r="H61" s="2">
        <v>33011.81</v>
      </c>
      <c r="I61" t="s">
        <v>113</v>
      </c>
      <c r="J61">
        <v>289</v>
      </c>
      <c r="K61" t="s">
        <v>131</v>
      </c>
      <c r="L61" t="s">
        <v>132</v>
      </c>
      <c r="M61" t="s">
        <v>62</v>
      </c>
      <c r="N61" t="s">
        <v>63</v>
      </c>
      <c r="O61" t="s">
        <v>64</v>
      </c>
      <c r="P61">
        <v>485</v>
      </c>
      <c r="Q61">
        <v>6598</v>
      </c>
      <c r="R61" t="s">
        <v>65</v>
      </c>
    </row>
    <row r="62" spans="1:18" x14ac:dyDescent="0.2">
      <c r="A62" t="s">
        <v>133</v>
      </c>
      <c r="B62" t="s">
        <v>56</v>
      </c>
      <c r="C62" t="s">
        <v>56</v>
      </c>
      <c r="D62" t="s">
        <v>52</v>
      </c>
      <c r="E62" t="str">
        <f>"C12R2ig"</f>
        <v>C12R2ig</v>
      </c>
      <c r="F62" t="s">
        <v>71</v>
      </c>
      <c r="G62" t="s">
        <v>72</v>
      </c>
      <c r="H62" s="2">
        <v>248375.01</v>
      </c>
      <c r="I62" t="s">
        <v>73</v>
      </c>
      <c r="J62">
        <v>972</v>
      </c>
      <c r="K62" t="s">
        <v>131</v>
      </c>
      <c r="L62" t="s">
        <v>132</v>
      </c>
      <c r="M62" t="s">
        <v>62</v>
      </c>
      <c r="N62" t="s">
        <v>63</v>
      </c>
      <c r="O62" t="s">
        <v>64</v>
      </c>
      <c r="P62">
        <v>485</v>
      </c>
      <c r="Q62">
        <v>6598</v>
      </c>
      <c r="R62" t="s">
        <v>65</v>
      </c>
    </row>
    <row r="63" spans="1:18" x14ac:dyDescent="0.2">
      <c r="A63" t="s">
        <v>134</v>
      </c>
      <c r="B63" t="s">
        <v>56</v>
      </c>
      <c r="C63" t="s">
        <v>56</v>
      </c>
      <c r="D63" t="s">
        <v>52</v>
      </c>
      <c r="E63" t="str">
        <f>"C13R1is"</f>
        <v>C13R1is</v>
      </c>
      <c r="F63" t="s">
        <v>57</v>
      </c>
      <c r="G63" t="s">
        <v>58</v>
      </c>
      <c r="H63" s="2">
        <v>26991</v>
      </c>
      <c r="I63" t="s">
        <v>59</v>
      </c>
      <c r="J63">
        <v>418</v>
      </c>
      <c r="K63" t="s">
        <v>135</v>
      </c>
      <c r="L63" t="s">
        <v>136</v>
      </c>
      <c r="M63" t="s">
        <v>62</v>
      </c>
      <c r="N63" t="s">
        <v>63</v>
      </c>
      <c r="O63" t="s">
        <v>64</v>
      </c>
      <c r="P63">
        <v>485</v>
      </c>
      <c r="Q63">
        <v>6598</v>
      </c>
      <c r="R63" t="s">
        <v>65</v>
      </c>
    </row>
    <row r="64" spans="1:18" x14ac:dyDescent="0.2">
      <c r="A64" t="s">
        <v>137</v>
      </c>
      <c r="B64" t="s">
        <v>56</v>
      </c>
      <c r="C64" t="s">
        <v>56</v>
      </c>
      <c r="D64" t="s">
        <v>52</v>
      </c>
      <c r="E64" t="str">
        <f>"C13R1is"</f>
        <v>C13R1is</v>
      </c>
      <c r="F64" t="s">
        <v>67</v>
      </c>
      <c r="G64" t="s">
        <v>68</v>
      </c>
      <c r="H64" s="2">
        <v>19476.63</v>
      </c>
      <c r="I64" t="s">
        <v>69</v>
      </c>
      <c r="J64">
        <v>811</v>
      </c>
      <c r="K64" t="s">
        <v>135</v>
      </c>
      <c r="L64" t="s">
        <v>136</v>
      </c>
      <c r="M64" t="s">
        <v>62</v>
      </c>
      <c r="N64" t="s">
        <v>63</v>
      </c>
      <c r="O64" t="s">
        <v>64</v>
      </c>
      <c r="P64">
        <v>485</v>
      </c>
      <c r="Q64">
        <v>6598</v>
      </c>
      <c r="R64" t="s">
        <v>65</v>
      </c>
    </row>
    <row r="65" spans="1:18" x14ac:dyDescent="0.2">
      <c r="A65" t="s">
        <v>138</v>
      </c>
      <c r="B65" t="s">
        <v>56</v>
      </c>
      <c r="C65" t="s">
        <v>56</v>
      </c>
      <c r="D65" t="s">
        <v>52</v>
      </c>
      <c r="E65" t="str">
        <f>"C13R2g"</f>
        <v>C13R2g</v>
      </c>
      <c r="F65" t="s">
        <v>71</v>
      </c>
      <c r="G65" t="s">
        <v>72</v>
      </c>
      <c r="H65" s="2">
        <v>129623.13</v>
      </c>
      <c r="I65" t="s">
        <v>73</v>
      </c>
      <c r="J65">
        <v>849</v>
      </c>
      <c r="K65">
        <v>48978</v>
      </c>
      <c r="L65">
        <v>25371</v>
      </c>
      <c r="M65" t="s">
        <v>62</v>
      </c>
      <c r="N65" t="s">
        <v>63</v>
      </c>
      <c r="O65" t="s">
        <v>64</v>
      </c>
      <c r="P65">
        <v>485</v>
      </c>
      <c r="Q65">
        <v>6598</v>
      </c>
      <c r="R65" t="s">
        <v>65</v>
      </c>
    </row>
    <row r="66" spans="1:18" x14ac:dyDescent="0.2">
      <c r="A66" t="s">
        <v>139</v>
      </c>
      <c r="B66" t="s">
        <v>56</v>
      </c>
      <c r="C66" t="s">
        <v>56</v>
      </c>
      <c r="D66" t="s">
        <v>52</v>
      </c>
      <c r="E66" t="str">
        <f>"C13R3is"</f>
        <v>C13R3is</v>
      </c>
      <c r="F66" t="s">
        <v>57</v>
      </c>
      <c r="G66" t="s">
        <v>58</v>
      </c>
      <c r="H66" s="2">
        <v>9770.15</v>
      </c>
      <c r="I66" t="s">
        <v>59</v>
      </c>
      <c r="J66">
        <v>163</v>
      </c>
      <c r="K66">
        <v>50481</v>
      </c>
      <c r="L66">
        <v>27345</v>
      </c>
      <c r="M66" t="s">
        <v>62</v>
      </c>
      <c r="N66" t="s">
        <v>63</v>
      </c>
      <c r="O66" t="s">
        <v>64</v>
      </c>
      <c r="P66">
        <v>485</v>
      </c>
      <c r="Q66">
        <v>6598</v>
      </c>
      <c r="R66" t="s">
        <v>65</v>
      </c>
    </row>
    <row r="67" spans="1:18" x14ac:dyDescent="0.2">
      <c r="A67" t="s">
        <v>140</v>
      </c>
      <c r="B67" t="s">
        <v>56</v>
      </c>
      <c r="C67" t="s">
        <v>56</v>
      </c>
      <c r="D67" t="s">
        <v>52</v>
      </c>
      <c r="E67" t="str">
        <f>"C13R3is"</f>
        <v>C13R3is</v>
      </c>
      <c r="F67" t="s">
        <v>67</v>
      </c>
      <c r="G67" t="s">
        <v>68</v>
      </c>
      <c r="H67" s="2">
        <v>10046.31</v>
      </c>
      <c r="I67" t="s">
        <v>69</v>
      </c>
      <c r="J67">
        <v>536</v>
      </c>
      <c r="K67">
        <v>50481</v>
      </c>
      <c r="L67">
        <v>27345</v>
      </c>
      <c r="M67" t="s">
        <v>62</v>
      </c>
      <c r="N67" t="s">
        <v>63</v>
      </c>
      <c r="O67" t="s">
        <v>64</v>
      </c>
      <c r="P67">
        <v>485</v>
      </c>
      <c r="Q67">
        <v>6598</v>
      </c>
      <c r="R67" t="s">
        <v>65</v>
      </c>
    </row>
    <row r="68" spans="1:18" x14ac:dyDescent="0.2">
      <c r="A68" t="s">
        <v>141</v>
      </c>
      <c r="B68" t="s">
        <v>56</v>
      </c>
      <c r="C68" t="s">
        <v>56</v>
      </c>
      <c r="D68" t="s">
        <v>52</v>
      </c>
      <c r="E68" t="str">
        <f>"C14R1g"</f>
        <v>C14R1g</v>
      </c>
      <c r="F68" t="s">
        <v>71</v>
      </c>
      <c r="G68" t="s">
        <v>72</v>
      </c>
      <c r="H68" s="2">
        <v>95536.31</v>
      </c>
      <c r="I68" t="s">
        <v>73</v>
      </c>
      <c r="J68">
        <v>687</v>
      </c>
      <c r="K68">
        <v>50655</v>
      </c>
      <c r="L68">
        <v>20957</v>
      </c>
      <c r="M68" t="s">
        <v>62</v>
      </c>
      <c r="N68" t="s">
        <v>63</v>
      </c>
      <c r="O68" t="s">
        <v>64</v>
      </c>
      <c r="P68">
        <v>485</v>
      </c>
      <c r="Q68">
        <v>6598</v>
      </c>
      <c r="R68" t="s">
        <v>65</v>
      </c>
    </row>
    <row r="69" spans="1:18" x14ac:dyDescent="0.2">
      <c r="A69" t="s">
        <v>142</v>
      </c>
      <c r="B69" t="s">
        <v>56</v>
      </c>
      <c r="C69" t="s">
        <v>56</v>
      </c>
      <c r="D69" t="s">
        <v>52</v>
      </c>
      <c r="E69" t="str">
        <f>"C15R1is"</f>
        <v>C15R1is</v>
      </c>
      <c r="F69" t="s">
        <v>57</v>
      </c>
      <c r="G69" t="s">
        <v>58</v>
      </c>
      <c r="H69" s="2">
        <v>20433.080000000002</v>
      </c>
      <c r="I69" t="s">
        <v>59</v>
      </c>
      <c r="J69">
        <v>260</v>
      </c>
      <c r="K69">
        <v>48862</v>
      </c>
      <c r="L69">
        <v>12343</v>
      </c>
      <c r="M69" t="s">
        <v>62</v>
      </c>
      <c r="N69" t="s">
        <v>63</v>
      </c>
      <c r="O69" t="s">
        <v>64</v>
      </c>
      <c r="P69">
        <v>485</v>
      </c>
      <c r="Q69">
        <v>6598</v>
      </c>
      <c r="R69" t="s">
        <v>65</v>
      </c>
    </row>
    <row r="70" spans="1:18" x14ac:dyDescent="0.2">
      <c r="A70" t="s">
        <v>143</v>
      </c>
      <c r="B70" t="s">
        <v>56</v>
      </c>
      <c r="C70" t="s">
        <v>56</v>
      </c>
      <c r="D70" t="s">
        <v>52</v>
      </c>
      <c r="E70" t="str">
        <f>"C15R1is"</f>
        <v>C15R1is</v>
      </c>
      <c r="F70" t="s">
        <v>67</v>
      </c>
      <c r="G70" t="s">
        <v>68</v>
      </c>
      <c r="H70" s="2">
        <v>7961.4</v>
      </c>
      <c r="I70" t="s">
        <v>69</v>
      </c>
      <c r="J70">
        <v>410</v>
      </c>
      <c r="K70">
        <v>48862</v>
      </c>
      <c r="L70">
        <v>12343</v>
      </c>
      <c r="M70" t="s">
        <v>62</v>
      </c>
      <c r="N70" t="s">
        <v>63</v>
      </c>
      <c r="O70" t="s">
        <v>64</v>
      </c>
      <c r="P70">
        <v>485</v>
      </c>
      <c r="Q70">
        <v>6598</v>
      </c>
      <c r="R70" t="s">
        <v>65</v>
      </c>
    </row>
    <row r="71" spans="1:18" x14ac:dyDescent="0.2">
      <c r="A71" t="s">
        <v>144</v>
      </c>
      <c r="B71" t="s">
        <v>56</v>
      </c>
      <c r="C71" t="s">
        <v>56</v>
      </c>
      <c r="D71" t="s">
        <v>52</v>
      </c>
      <c r="E71" t="str">
        <f>"C15R2g"</f>
        <v>C15R2g</v>
      </c>
      <c r="F71" t="s">
        <v>71</v>
      </c>
      <c r="G71" t="s">
        <v>72</v>
      </c>
      <c r="H71" s="2">
        <v>180280.73</v>
      </c>
      <c r="I71" t="s">
        <v>73</v>
      </c>
      <c r="J71">
        <v>1455</v>
      </c>
      <c r="K71">
        <v>50807</v>
      </c>
      <c r="L71">
        <v>11636</v>
      </c>
      <c r="M71" t="s">
        <v>62</v>
      </c>
      <c r="N71" t="s">
        <v>63</v>
      </c>
      <c r="O71" t="s">
        <v>64</v>
      </c>
      <c r="P71">
        <v>485</v>
      </c>
      <c r="Q71">
        <v>6598</v>
      </c>
      <c r="R71" t="s">
        <v>65</v>
      </c>
    </row>
    <row r="72" spans="1:18" x14ac:dyDescent="0.2">
      <c r="A72" t="s">
        <v>145</v>
      </c>
      <c r="B72" t="s">
        <v>56</v>
      </c>
      <c r="C72" t="s">
        <v>56</v>
      </c>
      <c r="D72" t="s">
        <v>52</v>
      </c>
      <c r="E72" t="str">
        <f>"C16R1is"</f>
        <v>C16R1is</v>
      </c>
      <c r="F72" t="s">
        <v>57</v>
      </c>
      <c r="G72" t="s">
        <v>58</v>
      </c>
      <c r="H72" s="2">
        <v>22727.59</v>
      </c>
      <c r="I72" t="s">
        <v>59</v>
      </c>
      <c r="J72">
        <v>218</v>
      </c>
      <c r="K72" t="s">
        <v>146</v>
      </c>
      <c r="L72" t="s">
        <v>147</v>
      </c>
      <c r="M72" t="s">
        <v>62</v>
      </c>
      <c r="N72" t="s">
        <v>63</v>
      </c>
      <c r="O72" t="s">
        <v>64</v>
      </c>
      <c r="P72">
        <v>485</v>
      </c>
      <c r="Q72">
        <v>6598</v>
      </c>
      <c r="R72" t="s">
        <v>65</v>
      </c>
    </row>
    <row r="73" spans="1:18" x14ac:dyDescent="0.2">
      <c r="A73" t="s">
        <v>148</v>
      </c>
      <c r="B73" t="s">
        <v>56</v>
      </c>
      <c r="C73" t="s">
        <v>56</v>
      </c>
      <c r="D73" t="s">
        <v>52</v>
      </c>
      <c r="E73" t="str">
        <f>"C16R1is"</f>
        <v>C16R1is</v>
      </c>
      <c r="F73" t="s">
        <v>67</v>
      </c>
      <c r="G73" t="s">
        <v>68</v>
      </c>
      <c r="H73" s="2">
        <v>3511.59</v>
      </c>
      <c r="I73" t="s">
        <v>69</v>
      </c>
      <c r="J73">
        <v>147</v>
      </c>
      <c r="K73" t="s">
        <v>146</v>
      </c>
      <c r="L73" t="s">
        <v>147</v>
      </c>
      <c r="M73" t="s">
        <v>62</v>
      </c>
      <c r="N73" t="s">
        <v>63</v>
      </c>
      <c r="O73" t="s">
        <v>64</v>
      </c>
      <c r="P73">
        <v>485</v>
      </c>
      <c r="Q73">
        <v>6598</v>
      </c>
      <c r="R73" t="s">
        <v>65</v>
      </c>
    </row>
    <row r="74" spans="1:18" x14ac:dyDescent="0.2">
      <c r="A74" t="s">
        <v>149</v>
      </c>
      <c r="B74" t="s">
        <v>56</v>
      </c>
      <c r="C74" t="s">
        <v>56</v>
      </c>
      <c r="D74" t="s">
        <v>52</v>
      </c>
      <c r="E74" t="str">
        <f>"C16R2g"</f>
        <v>C16R2g</v>
      </c>
      <c r="F74" t="s">
        <v>71</v>
      </c>
      <c r="G74" t="s">
        <v>72</v>
      </c>
      <c r="H74" s="2">
        <v>273232.63</v>
      </c>
      <c r="I74" t="s">
        <v>73</v>
      </c>
      <c r="J74">
        <v>705</v>
      </c>
      <c r="K74" t="s">
        <v>150</v>
      </c>
      <c r="L74" t="s">
        <v>151</v>
      </c>
      <c r="M74" t="s">
        <v>62</v>
      </c>
      <c r="N74" t="s">
        <v>63</v>
      </c>
      <c r="O74" t="s">
        <v>64</v>
      </c>
      <c r="P74">
        <v>485</v>
      </c>
      <c r="Q74">
        <v>6598</v>
      </c>
      <c r="R74" t="s">
        <v>65</v>
      </c>
    </row>
    <row r="75" spans="1:18" x14ac:dyDescent="0.2">
      <c r="A75" t="s">
        <v>152</v>
      </c>
      <c r="B75" t="s">
        <v>56</v>
      </c>
      <c r="C75" t="s">
        <v>56</v>
      </c>
      <c r="D75" t="s">
        <v>52</v>
      </c>
      <c r="E75" t="str">
        <f>"C17R1is"</f>
        <v>C17R1is</v>
      </c>
      <c r="F75" t="s">
        <v>57</v>
      </c>
      <c r="G75" t="s">
        <v>58</v>
      </c>
      <c r="H75" s="2">
        <v>34752.720000000001</v>
      </c>
      <c r="I75" t="s">
        <v>59</v>
      </c>
      <c r="J75">
        <v>333</v>
      </c>
      <c r="K75" t="s">
        <v>153</v>
      </c>
      <c r="L75" t="s">
        <v>154</v>
      </c>
      <c r="M75" t="s">
        <v>62</v>
      </c>
      <c r="N75" t="s">
        <v>63</v>
      </c>
      <c r="O75" t="s">
        <v>64</v>
      </c>
      <c r="P75">
        <v>485</v>
      </c>
      <c r="Q75">
        <v>6598</v>
      </c>
      <c r="R75" t="s">
        <v>65</v>
      </c>
    </row>
    <row r="76" spans="1:18" x14ac:dyDescent="0.2">
      <c r="A76" t="s">
        <v>155</v>
      </c>
      <c r="B76" t="s">
        <v>56</v>
      </c>
      <c r="C76" t="s">
        <v>56</v>
      </c>
      <c r="D76" t="s">
        <v>52</v>
      </c>
      <c r="E76" t="str">
        <f>"C17R1is"</f>
        <v>C17R1is</v>
      </c>
      <c r="F76" t="s">
        <v>67</v>
      </c>
      <c r="G76" t="s">
        <v>68</v>
      </c>
      <c r="H76" s="2">
        <v>47632.72</v>
      </c>
      <c r="I76" t="s">
        <v>69</v>
      </c>
      <c r="J76">
        <v>2674</v>
      </c>
      <c r="K76" t="s">
        <v>153</v>
      </c>
      <c r="L76" t="s">
        <v>154</v>
      </c>
      <c r="M76" t="s">
        <v>62</v>
      </c>
      <c r="N76" t="s">
        <v>63</v>
      </c>
      <c r="O76" t="s">
        <v>64</v>
      </c>
      <c r="P76">
        <v>485</v>
      </c>
      <c r="Q76">
        <v>6598</v>
      </c>
      <c r="R76" t="s">
        <v>65</v>
      </c>
    </row>
    <row r="77" spans="1:18" x14ac:dyDescent="0.2">
      <c r="A77" t="s">
        <v>156</v>
      </c>
      <c r="B77" t="s">
        <v>56</v>
      </c>
      <c r="C77" t="s">
        <v>56</v>
      </c>
      <c r="D77" t="s">
        <v>52</v>
      </c>
      <c r="E77" t="str">
        <f>"C17R2g"</f>
        <v>C17R2g</v>
      </c>
      <c r="F77" t="s">
        <v>71</v>
      </c>
      <c r="G77" t="s">
        <v>72</v>
      </c>
      <c r="H77" s="2">
        <v>199846.64</v>
      </c>
      <c r="I77" t="s">
        <v>73</v>
      </c>
      <c r="J77">
        <v>3058</v>
      </c>
      <c r="K77" t="s">
        <v>157</v>
      </c>
      <c r="L77" t="s">
        <v>158</v>
      </c>
      <c r="M77" t="s">
        <v>62</v>
      </c>
      <c r="N77" t="s">
        <v>63</v>
      </c>
      <c r="O77" t="s">
        <v>64</v>
      </c>
      <c r="P77">
        <v>485</v>
      </c>
      <c r="Q77">
        <v>6598</v>
      </c>
      <c r="R77" t="s">
        <v>65</v>
      </c>
    </row>
    <row r="78" spans="1:18" x14ac:dyDescent="0.2">
      <c r="A78" t="s">
        <v>159</v>
      </c>
      <c r="B78" t="s">
        <v>56</v>
      </c>
      <c r="C78" t="s">
        <v>56</v>
      </c>
      <c r="D78" t="s">
        <v>52</v>
      </c>
      <c r="E78" t="str">
        <f>"C18R1is"</f>
        <v>C18R1is</v>
      </c>
      <c r="F78" t="s">
        <v>57</v>
      </c>
      <c r="G78" t="s">
        <v>58</v>
      </c>
      <c r="H78" s="2">
        <v>3901.66</v>
      </c>
      <c r="I78" t="s">
        <v>59</v>
      </c>
      <c r="J78">
        <v>80</v>
      </c>
      <c r="K78" t="s">
        <v>160</v>
      </c>
      <c r="L78" t="s">
        <v>161</v>
      </c>
      <c r="M78" t="s">
        <v>62</v>
      </c>
      <c r="N78" t="s">
        <v>63</v>
      </c>
      <c r="O78" t="s">
        <v>64</v>
      </c>
      <c r="P78">
        <v>485</v>
      </c>
      <c r="Q78">
        <v>6598</v>
      </c>
      <c r="R78" t="s">
        <v>65</v>
      </c>
    </row>
    <row r="79" spans="1:18" x14ac:dyDescent="0.2">
      <c r="A79" t="s">
        <v>162</v>
      </c>
      <c r="B79" t="s">
        <v>56</v>
      </c>
      <c r="C79" t="s">
        <v>56</v>
      </c>
      <c r="D79" t="s">
        <v>52</v>
      </c>
      <c r="E79" t="str">
        <f>"C18R1is"</f>
        <v>C18R1is</v>
      </c>
      <c r="F79" t="s">
        <v>67</v>
      </c>
      <c r="G79" t="s">
        <v>68</v>
      </c>
      <c r="H79" s="2">
        <v>42915.56</v>
      </c>
      <c r="I79" t="s">
        <v>69</v>
      </c>
      <c r="J79">
        <v>3121</v>
      </c>
      <c r="K79" t="s">
        <v>160</v>
      </c>
      <c r="L79" t="s">
        <v>161</v>
      </c>
      <c r="M79" t="s">
        <v>62</v>
      </c>
      <c r="N79" t="s">
        <v>63</v>
      </c>
      <c r="O79" t="s">
        <v>64</v>
      </c>
      <c r="P79">
        <v>485</v>
      </c>
      <c r="Q79">
        <v>6598</v>
      </c>
      <c r="R79" t="s">
        <v>65</v>
      </c>
    </row>
    <row r="80" spans="1:18" x14ac:dyDescent="0.2">
      <c r="A80" t="s">
        <v>163</v>
      </c>
      <c r="B80" t="s">
        <v>56</v>
      </c>
      <c r="C80" t="s">
        <v>56</v>
      </c>
      <c r="D80" t="s">
        <v>52</v>
      </c>
      <c r="E80" t="str">
        <f>"C18R2g"</f>
        <v>C18R2g</v>
      </c>
      <c r="F80" t="s">
        <v>71</v>
      </c>
      <c r="G80" t="s">
        <v>72</v>
      </c>
      <c r="H80" s="2">
        <v>252097.96</v>
      </c>
      <c r="I80" t="s">
        <v>73</v>
      </c>
      <c r="J80">
        <v>3677</v>
      </c>
      <c r="K80" t="s">
        <v>164</v>
      </c>
      <c r="L80" t="s">
        <v>165</v>
      </c>
      <c r="M80" t="s">
        <v>62</v>
      </c>
      <c r="N80" t="s">
        <v>63</v>
      </c>
      <c r="O80" t="s">
        <v>64</v>
      </c>
      <c r="P80">
        <v>485</v>
      </c>
      <c r="Q80">
        <v>6598</v>
      </c>
      <c r="R80" t="s">
        <v>65</v>
      </c>
    </row>
    <row r="81" spans="1:18" x14ac:dyDescent="0.2">
      <c r="A81" t="s">
        <v>166</v>
      </c>
      <c r="B81" t="s">
        <v>56</v>
      </c>
      <c r="C81" t="s">
        <v>56</v>
      </c>
      <c r="D81" t="s">
        <v>52</v>
      </c>
      <c r="E81" t="str">
        <f>"C19R1is"</f>
        <v>C19R1is</v>
      </c>
      <c r="F81" t="s">
        <v>57</v>
      </c>
      <c r="G81" t="s">
        <v>58</v>
      </c>
      <c r="H81" s="2">
        <v>24839.85</v>
      </c>
      <c r="I81" t="s">
        <v>59</v>
      </c>
      <c r="J81">
        <v>171</v>
      </c>
      <c r="K81">
        <v>42078</v>
      </c>
      <c r="L81">
        <v>13570</v>
      </c>
      <c r="M81" t="s">
        <v>62</v>
      </c>
      <c r="N81" t="s">
        <v>63</v>
      </c>
      <c r="O81" t="s">
        <v>64</v>
      </c>
      <c r="P81">
        <v>485</v>
      </c>
      <c r="Q81">
        <v>6598</v>
      </c>
      <c r="R81" t="s">
        <v>65</v>
      </c>
    </row>
    <row r="82" spans="1:18" x14ac:dyDescent="0.2">
      <c r="A82" t="s">
        <v>167</v>
      </c>
      <c r="B82" t="s">
        <v>56</v>
      </c>
      <c r="C82" t="s">
        <v>56</v>
      </c>
      <c r="D82" t="s">
        <v>52</v>
      </c>
      <c r="E82" t="str">
        <f>"C19R1is"</f>
        <v>C19R1is</v>
      </c>
      <c r="F82" t="s">
        <v>67</v>
      </c>
      <c r="G82" t="s">
        <v>68</v>
      </c>
      <c r="H82" s="2">
        <v>39065.57</v>
      </c>
      <c r="I82" t="s">
        <v>69</v>
      </c>
      <c r="J82">
        <v>1416</v>
      </c>
      <c r="K82">
        <v>42078</v>
      </c>
      <c r="L82">
        <v>13570</v>
      </c>
      <c r="M82" t="s">
        <v>62</v>
      </c>
      <c r="N82" t="s">
        <v>63</v>
      </c>
      <c r="O82" t="s">
        <v>64</v>
      </c>
      <c r="P82">
        <v>485</v>
      </c>
      <c r="Q82">
        <v>6598</v>
      </c>
      <c r="R82" t="s">
        <v>65</v>
      </c>
    </row>
    <row r="83" spans="1:18" x14ac:dyDescent="0.2">
      <c r="A83" t="s">
        <v>168</v>
      </c>
      <c r="B83" t="s">
        <v>56</v>
      </c>
      <c r="C83" t="s">
        <v>56</v>
      </c>
      <c r="D83" t="s">
        <v>52</v>
      </c>
      <c r="E83" t="str">
        <f>"C19R2g"</f>
        <v>C19R2g</v>
      </c>
      <c r="F83" t="s">
        <v>71</v>
      </c>
      <c r="G83" t="s">
        <v>72</v>
      </c>
      <c r="H83" s="2">
        <v>140213.57999999999</v>
      </c>
      <c r="I83" t="s">
        <v>73</v>
      </c>
      <c r="J83">
        <v>647</v>
      </c>
      <c r="K83">
        <v>43620</v>
      </c>
      <c r="L83">
        <v>12026</v>
      </c>
      <c r="M83" t="s">
        <v>62</v>
      </c>
      <c r="N83" t="s">
        <v>63</v>
      </c>
      <c r="O83" t="s">
        <v>64</v>
      </c>
      <c r="P83">
        <v>485</v>
      </c>
      <c r="Q83">
        <v>6598</v>
      </c>
      <c r="R83" t="s">
        <v>65</v>
      </c>
    </row>
    <row r="84" spans="1:18" x14ac:dyDescent="0.2">
      <c r="A84" t="s">
        <v>169</v>
      </c>
      <c r="B84" t="s">
        <v>56</v>
      </c>
      <c r="C84" t="s">
        <v>56</v>
      </c>
      <c r="D84" t="s">
        <v>52</v>
      </c>
      <c r="E84" t="str">
        <f>"C20R1is"</f>
        <v>C20R1is</v>
      </c>
      <c r="F84" t="s">
        <v>57</v>
      </c>
      <c r="G84" t="s">
        <v>58</v>
      </c>
      <c r="H84" s="2">
        <v>28643.439999999999</v>
      </c>
      <c r="I84" t="s">
        <v>59</v>
      </c>
      <c r="J84">
        <v>297</v>
      </c>
      <c r="K84" t="s">
        <v>170</v>
      </c>
      <c r="L84" t="s">
        <v>171</v>
      </c>
      <c r="M84" t="s">
        <v>62</v>
      </c>
      <c r="N84" t="s">
        <v>63</v>
      </c>
      <c r="O84" t="s">
        <v>64</v>
      </c>
      <c r="P84">
        <v>485</v>
      </c>
      <c r="Q84">
        <v>6598</v>
      </c>
      <c r="R84" t="s">
        <v>65</v>
      </c>
    </row>
    <row r="85" spans="1:18" x14ac:dyDescent="0.2">
      <c r="A85" t="s">
        <v>172</v>
      </c>
      <c r="B85" t="s">
        <v>56</v>
      </c>
      <c r="C85" t="s">
        <v>56</v>
      </c>
      <c r="D85" t="s">
        <v>52</v>
      </c>
      <c r="E85" t="str">
        <f>"C20R1is"</f>
        <v>C20R1is</v>
      </c>
      <c r="F85" t="s">
        <v>67</v>
      </c>
      <c r="G85" t="s">
        <v>68</v>
      </c>
      <c r="H85" s="2">
        <v>14617.55</v>
      </c>
      <c r="I85" t="s">
        <v>69</v>
      </c>
      <c r="J85">
        <v>682</v>
      </c>
      <c r="K85" t="s">
        <v>170</v>
      </c>
      <c r="L85" t="s">
        <v>171</v>
      </c>
      <c r="M85" t="s">
        <v>62</v>
      </c>
      <c r="N85" t="s">
        <v>63</v>
      </c>
      <c r="O85" t="s">
        <v>64</v>
      </c>
      <c r="P85">
        <v>485</v>
      </c>
      <c r="Q85">
        <v>6598</v>
      </c>
      <c r="R85" t="s">
        <v>65</v>
      </c>
    </row>
    <row r="86" spans="1:18" x14ac:dyDescent="0.2">
      <c r="A86" t="s">
        <v>173</v>
      </c>
      <c r="B86" t="s">
        <v>56</v>
      </c>
      <c r="C86" t="s">
        <v>56</v>
      </c>
      <c r="D86" t="s">
        <v>52</v>
      </c>
      <c r="E86" t="str">
        <f>"C20R2ig"</f>
        <v>C20R2ig</v>
      </c>
      <c r="F86" t="s">
        <v>57</v>
      </c>
      <c r="G86" t="s">
        <v>58</v>
      </c>
      <c r="H86" s="2">
        <v>34876.080000000002</v>
      </c>
      <c r="I86" t="s">
        <v>113</v>
      </c>
      <c r="J86">
        <v>261</v>
      </c>
      <c r="K86" t="s">
        <v>174</v>
      </c>
      <c r="L86" t="s">
        <v>175</v>
      </c>
      <c r="M86" t="s">
        <v>62</v>
      </c>
      <c r="N86" t="s">
        <v>63</v>
      </c>
      <c r="O86" t="s">
        <v>64</v>
      </c>
      <c r="P86">
        <v>485</v>
      </c>
      <c r="Q86">
        <v>6598</v>
      </c>
      <c r="R86" t="s">
        <v>65</v>
      </c>
    </row>
    <row r="87" spans="1:18" x14ac:dyDescent="0.2">
      <c r="A87" t="s">
        <v>176</v>
      </c>
      <c r="B87" t="s">
        <v>56</v>
      </c>
      <c r="C87" t="s">
        <v>56</v>
      </c>
      <c r="D87" t="s">
        <v>52</v>
      </c>
      <c r="E87" t="str">
        <f>"C20R2ig"</f>
        <v>C20R2ig</v>
      </c>
      <c r="F87" t="s">
        <v>71</v>
      </c>
      <c r="G87" t="s">
        <v>72</v>
      </c>
      <c r="H87" s="2">
        <v>202703.21</v>
      </c>
      <c r="I87" t="s">
        <v>73</v>
      </c>
      <c r="J87">
        <v>1637</v>
      </c>
      <c r="K87" t="s">
        <v>174</v>
      </c>
      <c r="L87" t="s">
        <v>175</v>
      </c>
      <c r="M87" t="s">
        <v>62</v>
      </c>
      <c r="N87" t="s">
        <v>63</v>
      </c>
      <c r="O87" t="s">
        <v>64</v>
      </c>
      <c r="P87">
        <v>485</v>
      </c>
      <c r="Q87">
        <v>6598</v>
      </c>
      <c r="R87" t="s">
        <v>65</v>
      </c>
    </row>
    <row r="88" spans="1:18" x14ac:dyDescent="0.2">
      <c r="A88" t="s">
        <v>177</v>
      </c>
      <c r="B88" t="s">
        <v>56</v>
      </c>
      <c r="C88" t="s">
        <v>56</v>
      </c>
      <c r="D88" t="s">
        <v>52</v>
      </c>
      <c r="E88" t="str">
        <f>"C21R1is"</f>
        <v>C21R1is</v>
      </c>
      <c r="F88" t="s">
        <v>57</v>
      </c>
      <c r="G88" t="s">
        <v>58</v>
      </c>
      <c r="H88" s="2">
        <v>20018.38</v>
      </c>
      <c r="I88" t="s">
        <v>59</v>
      </c>
      <c r="J88">
        <v>177</v>
      </c>
      <c r="K88">
        <v>36651</v>
      </c>
      <c r="L88">
        <v>26459</v>
      </c>
      <c r="M88" t="s">
        <v>62</v>
      </c>
      <c r="N88" t="s">
        <v>63</v>
      </c>
      <c r="O88" t="s">
        <v>64</v>
      </c>
      <c r="P88">
        <v>485</v>
      </c>
      <c r="Q88">
        <v>6598</v>
      </c>
      <c r="R88" t="s">
        <v>65</v>
      </c>
    </row>
    <row r="89" spans="1:18" x14ac:dyDescent="0.2">
      <c r="A89" t="s">
        <v>178</v>
      </c>
      <c r="B89" t="s">
        <v>56</v>
      </c>
      <c r="C89" t="s">
        <v>56</v>
      </c>
      <c r="D89" t="s">
        <v>52</v>
      </c>
      <c r="E89" t="str">
        <f>"C21R1is"</f>
        <v>C21R1is</v>
      </c>
      <c r="F89" t="s">
        <v>67</v>
      </c>
      <c r="G89" t="s">
        <v>68</v>
      </c>
      <c r="H89" s="2">
        <v>13675.34</v>
      </c>
      <c r="I89" t="s">
        <v>69</v>
      </c>
      <c r="J89">
        <v>951</v>
      </c>
      <c r="K89">
        <v>36651</v>
      </c>
      <c r="L89">
        <v>26459</v>
      </c>
      <c r="M89" t="s">
        <v>62</v>
      </c>
      <c r="N89" t="s">
        <v>63</v>
      </c>
      <c r="O89" t="s">
        <v>64</v>
      </c>
      <c r="P89">
        <v>485</v>
      </c>
      <c r="Q89">
        <v>6598</v>
      </c>
      <c r="R89" t="s">
        <v>65</v>
      </c>
    </row>
    <row r="90" spans="1:18" x14ac:dyDescent="0.2">
      <c r="A90" t="s">
        <v>179</v>
      </c>
      <c r="B90" t="s">
        <v>56</v>
      </c>
      <c r="C90" t="s">
        <v>56</v>
      </c>
      <c r="D90" t="s">
        <v>52</v>
      </c>
      <c r="E90" t="str">
        <f>"C21R2ig"</f>
        <v>C21R2ig</v>
      </c>
      <c r="F90" t="s">
        <v>57</v>
      </c>
      <c r="G90" t="s">
        <v>58</v>
      </c>
      <c r="H90" s="2">
        <v>16361.35</v>
      </c>
      <c r="I90" t="s">
        <v>113</v>
      </c>
      <c r="J90">
        <v>169</v>
      </c>
      <c r="K90">
        <v>37355</v>
      </c>
      <c r="L90">
        <v>24724</v>
      </c>
      <c r="M90" t="s">
        <v>62</v>
      </c>
      <c r="N90" t="s">
        <v>63</v>
      </c>
      <c r="O90" t="s">
        <v>64</v>
      </c>
      <c r="P90">
        <v>485</v>
      </c>
      <c r="Q90">
        <v>6598</v>
      </c>
      <c r="R90" t="s">
        <v>65</v>
      </c>
    </row>
    <row r="91" spans="1:18" x14ac:dyDescent="0.2">
      <c r="A91" t="s">
        <v>180</v>
      </c>
      <c r="B91" t="s">
        <v>56</v>
      </c>
      <c r="C91" t="s">
        <v>56</v>
      </c>
      <c r="D91" t="s">
        <v>52</v>
      </c>
      <c r="E91" t="str">
        <f>"C21R2ig"</f>
        <v>C21R2ig</v>
      </c>
      <c r="F91" t="s">
        <v>71</v>
      </c>
      <c r="G91" t="s">
        <v>72</v>
      </c>
      <c r="H91" s="2">
        <v>172155.02</v>
      </c>
      <c r="I91" t="s">
        <v>73</v>
      </c>
      <c r="J91">
        <v>1863</v>
      </c>
      <c r="K91">
        <v>37355</v>
      </c>
      <c r="L91">
        <v>24724</v>
      </c>
      <c r="M91" t="s">
        <v>62</v>
      </c>
      <c r="N91" t="s">
        <v>63</v>
      </c>
      <c r="O91" t="s">
        <v>64</v>
      </c>
      <c r="P91">
        <v>485</v>
      </c>
      <c r="Q91">
        <v>6598</v>
      </c>
      <c r="R91" t="s">
        <v>65</v>
      </c>
    </row>
    <row r="92" spans="1:18" x14ac:dyDescent="0.2">
      <c r="A92" t="s">
        <v>181</v>
      </c>
      <c r="B92" t="s">
        <v>56</v>
      </c>
      <c r="C92" t="s">
        <v>56</v>
      </c>
      <c r="D92" t="s">
        <v>52</v>
      </c>
      <c r="E92" t="str">
        <f>"C22R1is"</f>
        <v>C22R1is</v>
      </c>
      <c r="F92" t="s">
        <v>57</v>
      </c>
      <c r="G92" t="s">
        <v>58</v>
      </c>
      <c r="H92" s="2">
        <v>21373.06</v>
      </c>
      <c r="I92" t="s">
        <v>59</v>
      </c>
      <c r="J92">
        <v>233</v>
      </c>
      <c r="K92" t="s">
        <v>182</v>
      </c>
      <c r="L92" t="s">
        <v>183</v>
      </c>
      <c r="M92" t="s">
        <v>62</v>
      </c>
      <c r="N92" t="s">
        <v>63</v>
      </c>
      <c r="O92" t="s">
        <v>64</v>
      </c>
      <c r="P92">
        <v>485</v>
      </c>
      <c r="Q92">
        <v>6598</v>
      </c>
      <c r="R92" t="s">
        <v>65</v>
      </c>
    </row>
    <row r="93" spans="1:18" x14ac:dyDescent="0.2">
      <c r="A93" t="s">
        <v>184</v>
      </c>
      <c r="B93" t="s">
        <v>56</v>
      </c>
      <c r="C93" t="s">
        <v>56</v>
      </c>
      <c r="D93" t="s">
        <v>52</v>
      </c>
      <c r="E93" t="str">
        <f>"C22R1is"</f>
        <v>C22R1is</v>
      </c>
      <c r="F93" t="s">
        <v>67</v>
      </c>
      <c r="G93" t="s">
        <v>68</v>
      </c>
      <c r="H93" s="2">
        <v>31487.37</v>
      </c>
      <c r="I93" t="s">
        <v>69</v>
      </c>
      <c r="J93">
        <v>2110</v>
      </c>
      <c r="K93" t="s">
        <v>182</v>
      </c>
      <c r="L93" t="s">
        <v>183</v>
      </c>
      <c r="M93" t="s">
        <v>62</v>
      </c>
      <c r="N93" t="s">
        <v>63</v>
      </c>
      <c r="O93" t="s">
        <v>64</v>
      </c>
      <c r="P93">
        <v>485</v>
      </c>
      <c r="Q93">
        <v>6598</v>
      </c>
      <c r="R93" t="s">
        <v>65</v>
      </c>
    </row>
    <row r="94" spans="1:18" x14ac:dyDescent="0.2">
      <c r="A94" t="s">
        <v>185</v>
      </c>
      <c r="B94" t="s">
        <v>56</v>
      </c>
      <c r="C94" t="s">
        <v>56</v>
      </c>
      <c r="D94" t="s">
        <v>52</v>
      </c>
      <c r="E94" t="str">
        <f>"C22R2g"</f>
        <v>C22R2g</v>
      </c>
      <c r="F94" t="s">
        <v>71</v>
      </c>
      <c r="G94" t="s">
        <v>72</v>
      </c>
      <c r="H94" s="2">
        <v>246564.82</v>
      </c>
      <c r="I94" t="s">
        <v>73</v>
      </c>
      <c r="J94">
        <v>3350</v>
      </c>
      <c r="K94" t="s">
        <v>186</v>
      </c>
      <c r="L94" t="s">
        <v>187</v>
      </c>
      <c r="M94" t="s">
        <v>62</v>
      </c>
      <c r="N94" t="s">
        <v>63</v>
      </c>
      <c r="O94" t="s">
        <v>64</v>
      </c>
      <c r="P94">
        <v>485</v>
      </c>
      <c r="Q94">
        <v>6598</v>
      </c>
      <c r="R94" t="s">
        <v>65</v>
      </c>
    </row>
    <row r="95" spans="1:18" x14ac:dyDescent="0.2">
      <c r="A95" t="s">
        <v>188</v>
      </c>
      <c r="B95" t="s">
        <v>56</v>
      </c>
      <c r="C95" t="s">
        <v>56</v>
      </c>
      <c r="D95" t="s">
        <v>52</v>
      </c>
      <c r="E95" t="str">
        <f>"C23R1is"</f>
        <v>C23R1is</v>
      </c>
      <c r="F95" t="s">
        <v>57</v>
      </c>
      <c r="G95" t="s">
        <v>58</v>
      </c>
      <c r="H95" s="2">
        <v>9430.48</v>
      </c>
      <c r="I95" t="s">
        <v>59</v>
      </c>
      <c r="J95">
        <v>106</v>
      </c>
      <c r="K95" t="s">
        <v>189</v>
      </c>
      <c r="L95" t="s">
        <v>190</v>
      </c>
      <c r="M95" t="s">
        <v>62</v>
      </c>
      <c r="N95" t="s">
        <v>63</v>
      </c>
      <c r="O95" t="s">
        <v>64</v>
      </c>
      <c r="P95">
        <v>485</v>
      </c>
      <c r="Q95">
        <v>6598</v>
      </c>
      <c r="R95" t="s">
        <v>65</v>
      </c>
    </row>
    <row r="96" spans="1:18" x14ac:dyDescent="0.2">
      <c r="A96" t="s">
        <v>191</v>
      </c>
      <c r="B96" t="s">
        <v>56</v>
      </c>
      <c r="C96" t="s">
        <v>56</v>
      </c>
      <c r="D96" t="s">
        <v>52</v>
      </c>
      <c r="E96" t="str">
        <f>"C23R1is"</f>
        <v>C23R1is</v>
      </c>
      <c r="F96" t="s">
        <v>67</v>
      </c>
      <c r="G96" t="s">
        <v>68</v>
      </c>
      <c r="H96" s="2">
        <v>9833.83</v>
      </c>
      <c r="I96" t="s">
        <v>69</v>
      </c>
      <c r="J96">
        <v>659</v>
      </c>
      <c r="K96" t="s">
        <v>189</v>
      </c>
      <c r="L96" t="s">
        <v>190</v>
      </c>
      <c r="M96" t="s">
        <v>62</v>
      </c>
      <c r="N96" t="s">
        <v>63</v>
      </c>
      <c r="O96" t="s">
        <v>64</v>
      </c>
      <c r="P96">
        <v>485</v>
      </c>
      <c r="Q96">
        <v>6598</v>
      </c>
      <c r="R96" t="s">
        <v>65</v>
      </c>
    </row>
    <row r="97" spans="1:18" x14ac:dyDescent="0.2">
      <c r="A97" t="s">
        <v>192</v>
      </c>
      <c r="B97" t="s">
        <v>56</v>
      </c>
      <c r="C97" t="s">
        <v>56</v>
      </c>
      <c r="D97" t="s">
        <v>52</v>
      </c>
      <c r="E97" t="str">
        <f>"C23R2g"</f>
        <v>C23R2g</v>
      </c>
      <c r="F97" t="s">
        <v>71</v>
      </c>
      <c r="G97" t="s">
        <v>72</v>
      </c>
      <c r="H97" s="2">
        <v>289295.09999999998</v>
      </c>
      <c r="I97" t="s">
        <v>73</v>
      </c>
      <c r="J97">
        <v>1563</v>
      </c>
      <c r="K97" t="s">
        <v>193</v>
      </c>
      <c r="L97" t="s">
        <v>194</v>
      </c>
      <c r="M97" t="s">
        <v>62</v>
      </c>
      <c r="N97" t="s">
        <v>63</v>
      </c>
      <c r="O97" t="s">
        <v>64</v>
      </c>
      <c r="P97">
        <v>485</v>
      </c>
      <c r="Q97">
        <v>6598</v>
      </c>
      <c r="R97" t="s">
        <v>65</v>
      </c>
    </row>
    <row r="98" spans="1:18" x14ac:dyDescent="0.2">
      <c r="A98" t="s">
        <v>195</v>
      </c>
      <c r="B98" t="s">
        <v>56</v>
      </c>
      <c r="C98" t="s">
        <v>56</v>
      </c>
      <c r="D98" t="s">
        <v>52</v>
      </c>
      <c r="E98" t="str">
        <f>"C23R3is"</f>
        <v>C23R3is</v>
      </c>
      <c r="F98" t="s">
        <v>57</v>
      </c>
      <c r="G98" t="s">
        <v>58</v>
      </c>
      <c r="H98" s="2">
        <v>7806.04</v>
      </c>
      <c r="I98" t="s">
        <v>59</v>
      </c>
      <c r="J98">
        <v>115</v>
      </c>
      <c r="K98" t="s">
        <v>196</v>
      </c>
      <c r="L98" t="s">
        <v>197</v>
      </c>
      <c r="M98" t="s">
        <v>62</v>
      </c>
      <c r="N98" t="s">
        <v>63</v>
      </c>
      <c r="O98" t="s">
        <v>64</v>
      </c>
      <c r="P98">
        <v>485</v>
      </c>
      <c r="Q98">
        <v>6598</v>
      </c>
      <c r="R98" t="s">
        <v>65</v>
      </c>
    </row>
    <row r="99" spans="1:18" x14ac:dyDescent="0.2">
      <c r="A99" t="s">
        <v>198</v>
      </c>
      <c r="B99" t="s">
        <v>56</v>
      </c>
      <c r="C99" t="s">
        <v>56</v>
      </c>
      <c r="D99" t="s">
        <v>52</v>
      </c>
      <c r="E99" t="str">
        <f>"C23R3is"</f>
        <v>C23R3is</v>
      </c>
      <c r="F99" t="s">
        <v>67</v>
      </c>
      <c r="G99" t="s">
        <v>68</v>
      </c>
      <c r="H99" s="2">
        <v>9134.81</v>
      </c>
      <c r="I99" t="s">
        <v>69</v>
      </c>
      <c r="J99">
        <v>587</v>
      </c>
      <c r="K99" t="s">
        <v>196</v>
      </c>
      <c r="L99" t="s">
        <v>197</v>
      </c>
      <c r="M99" t="s">
        <v>62</v>
      </c>
      <c r="N99" t="s">
        <v>63</v>
      </c>
      <c r="O99" t="s">
        <v>64</v>
      </c>
      <c r="P99">
        <v>485</v>
      </c>
      <c r="Q99">
        <v>6598</v>
      </c>
      <c r="R99" t="s">
        <v>65</v>
      </c>
    </row>
    <row r="100" spans="1:18" x14ac:dyDescent="0.2">
      <c r="A100" t="s">
        <v>199</v>
      </c>
      <c r="B100" t="s">
        <v>56</v>
      </c>
      <c r="C100" t="s">
        <v>56</v>
      </c>
      <c r="D100" t="s">
        <v>52</v>
      </c>
      <c r="E100" t="str">
        <f>"C23R4g"</f>
        <v>C23R4g</v>
      </c>
      <c r="F100" t="s">
        <v>71</v>
      </c>
      <c r="G100" t="s">
        <v>72</v>
      </c>
      <c r="H100" s="2">
        <v>253856.32</v>
      </c>
      <c r="I100" t="s">
        <v>73</v>
      </c>
      <c r="J100">
        <v>1446</v>
      </c>
      <c r="K100" t="s">
        <v>200</v>
      </c>
      <c r="L100" t="s">
        <v>201</v>
      </c>
      <c r="M100" t="s">
        <v>62</v>
      </c>
      <c r="N100" t="s">
        <v>63</v>
      </c>
      <c r="O100" t="s">
        <v>64</v>
      </c>
      <c r="P100">
        <v>485</v>
      </c>
      <c r="Q100">
        <v>6598</v>
      </c>
      <c r="R100" t="s">
        <v>65</v>
      </c>
    </row>
    <row r="101" spans="1:18" x14ac:dyDescent="0.2">
      <c r="A101" t="s">
        <v>202</v>
      </c>
      <c r="B101" t="s">
        <v>56</v>
      </c>
      <c r="C101" t="s">
        <v>56</v>
      </c>
      <c r="D101" t="s">
        <v>52</v>
      </c>
      <c r="E101" t="str">
        <f>"C25R1is"</f>
        <v>C25R1is</v>
      </c>
      <c r="F101" t="s">
        <v>57</v>
      </c>
      <c r="G101" t="s">
        <v>58</v>
      </c>
      <c r="H101" s="2">
        <v>42371.09</v>
      </c>
      <c r="I101" t="s">
        <v>59</v>
      </c>
      <c r="J101">
        <v>439</v>
      </c>
      <c r="K101">
        <v>31239</v>
      </c>
      <c r="L101">
        <v>25179</v>
      </c>
      <c r="M101" t="s">
        <v>62</v>
      </c>
      <c r="N101" t="s">
        <v>63</v>
      </c>
      <c r="O101" t="s">
        <v>64</v>
      </c>
      <c r="P101">
        <v>485</v>
      </c>
      <c r="Q101">
        <v>6598</v>
      </c>
      <c r="R101" t="s">
        <v>65</v>
      </c>
    </row>
    <row r="102" spans="1:18" x14ac:dyDescent="0.2">
      <c r="A102" t="s">
        <v>203</v>
      </c>
      <c r="B102" t="s">
        <v>56</v>
      </c>
      <c r="C102" t="s">
        <v>56</v>
      </c>
      <c r="D102" t="s">
        <v>52</v>
      </c>
      <c r="E102" t="str">
        <f>"C25R1is"</f>
        <v>C25R1is</v>
      </c>
      <c r="F102" t="s">
        <v>67</v>
      </c>
      <c r="G102" t="s">
        <v>68</v>
      </c>
      <c r="H102" s="2">
        <v>25951.19</v>
      </c>
      <c r="I102" t="s">
        <v>69</v>
      </c>
      <c r="J102">
        <v>2035</v>
      </c>
      <c r="K102">
        <v>31239</v>
      </c>
      <c r="L102">
        <v>25179</v>
      </c>
      <c r="M102" t="s">
        <v>62</v>
      </c>
      <c r="N102" t="s">
        <v>63</v>
      </c>
      <c r="O102" t="s">
        <v>64</v>
      </c>
      <c r="P102">
        <v>485</v>
      </c>
      <c r="Q102">
        <v>6598</v>
      </c>
      <c r="R102" t="s">
        <v>65</v>
      </c>
    </row>
    <row r="103" spans="1:18" x14ac:dyDescent="0.2">
      <c r="A103" t="s">
        <v>204</v>
      </c>
      <c r="B103" t="s">
        <v>56</v>
      </c>
      <c r="C103" t="s">
        <v>56</v>
      </c>
      <c r="D103" t="s">
        <v>52</v>
      </c>
      <c r="E103" t="str">
        <f>"C25R2g"</f>
        <v>C25R2g</v>
      </c>
      <c r="F103" t="s">
        <v>71</v>
      </c>
      <c r="G103" t="s">
        <v>72</v>
      </c>
      <c r="H103" s="2">
        <v>177264.17</v>
      </c>
      <c r="I103" t="s">
        <v>73</v>
      </c>
      <c r="J103">
        <v>2209</v>
      </c>
      <c r="K103">
        <v>32408</v>
      </c>
      <c r="L103">
        <v>26404</v>
      </c>
      <c r="M103" t="s">
        <v>62</v>
      </c>
      <c r="N103" t="s">
        <v>63</v>
      </c>
      <c r="O103" t="s">
        <v>64</v>
      </c>
      <c r="P103">
        <v>485</v>
      </c>
      <c r="Q103">
        <v>6598</v>
      </c>
      <c r="R103" t="s">
        <v>65</v>
      </c>
    </row>
    <row r="104" spans="1:18" x14ac:dyDescent="0.2">
      <c r="A104" t="s">
        <v>205</v>
      </c>
      <c r="B104" t="s">
        <v>56</v>
      </c>
      <c r="C104" t="s">
        <v>56</v>
      </c>
      <c r="D104" t="s">
        <v>52</v>
      </c>
      <c r="E104" t="str">
        <f>"C26R1is"</f>
        <v>C26R1is</v>
      </c>
      <c r="F104" t="s">
        <v>57</v>
      </c>
      <c r="G104" t="s">
        <v>58</v>
      </c>
      <c r="H104" s="2">
        <v>42840.52</v>
      </c>
      <c r="I104" t="s">
        <v>59</v>
      </c>
      <c r="J104">
        <v>607</v>
      </c>
      <c r="K104" t="s">
        <v>206</v>
      </c>
      <c r="L104" t="s">
        <v>207</v>
      </c>
      <c r="M104" t="s">
        <v>62</v>
      </c>
      <c r="N104" t="s">
        <v>63</v>
      </c>
      <c r="O104" t="s">
        <v>64</v>
      </c>
      <c r="P104">
        <v>485</v>
      </c>
      <c r="Q104">
        <v>6598</v>
      </c>
      <c r="R104" t="s">
        <v>65</v>
      </c>
    </row>
    <row r="105" spans="1:18" x14ac:dyDescent="0.2">
      <c r="A105" t="s">
        <v>208</v>
      </c>
      <c r="B105" t="s">
        <v>56</v>
      </c>
      <c r="C105" t="s">
        <v>56</v>
      </c>
      <c r="D105" t="s">
        <v>52</v>
      </c>
      <c r="E105" t="str">
        <f>"C26R1is"</f>
        <v>C26R1is</v>
      </c>
      <c r="F105" t="s">
        <v>67</v>
      </c>
      <c r="G105" t="s">
        <v>68</v>
      </c>
      <c r="H105" s="2">
        <v>28634.959999999999</v>
      </c>
      <c r="I105" t="s">
        <v>69</v>
      </c>
      <c r="J105">
        <v>2116</v>
      </c>
      <c r="K105" t="s">
        <v>206</v>
      </c>
      <c r="L105" t="s">
        <v>207</v>
      </c>
      <c r="M105" t="s">
        <v>62</v>
      </c>
      <c r="N105" t="s">
        <v>63</v>
      </c>
      <c r="O105" t="s">
        <v>64</v>
      </c>
      <c r="P105">
        <v>485</v>
      </c>
      <c r="Q105">
        <v>6598</v>
      </c>
      <c r="R105" t="s">
        <v>65</v>
      </c>
    </row>
    <row r="106" spans="1:18" x14ac:dyDescent="0.2">
      <c r="A106" t="s">
        <v>209</v>
      </c>
      <c r="B106" t="s">
        <v>56</v>
      </c>
      <c r="C106" t="s">
        <v>56</v>
      </c>
      <c r="D106" t="s">
        <v>52</v>
      </c>
      <c r="E106" t="str">
        <f>"C26R2g"</f>
        <v>C26R2g</v>
      </c>
      <c r="F106" t="s">
        <v>71</v>
      </c>
      <c r="G106" t="s">
        <v>72</v>
      </c>
      <c r="H106" s="2">
        <v>157345.63</v>
      </c>
      <c r="I106" t="s">
        <v>73</v>
      </c>
      <c r="J106">
        <v>2103</v>
      </c>
      <c r="K106" t="s">
        <v>210</v>
      </c>
      <c r="L106" t="s">
        <v>211</v>
      </c>
      <c r="M106" t="s">
        <v>62</v>
      </c>
      <c r="N106" t="s">
        <v>63</v>
      </c>
      <c r="O106" t="s">
        <v>64</v>
      </c>
      <c r="P106">
        <v>485</v>
      </c>
      <c r="Q106">
        <v>6598</v>
      </c>
      <c r="R106" t="s">
        <v>65</v>
      </c>
    </row>
    <row r="107" spans="1:18" x14ac:dyDescent="0.2">
      <c r="A107" t="s">
        <v>212</v>
      </c>
      <c r="B107" t="s">
        <v>56</v>
      </c>
      <c r="C107" t="s">
        <v>56</v>
      </c>
      <c r="D107" t="s">
        <v>52</v>
      </c>
      <c r="E107" t="str">
        <f>"C27R1is"</f>
        <v>C27R1is</v>
      </c>
      <c r="F107" t="s">
        <v>57</v>
      </c>
      <c r="G107" t="s">
        <v>58</v>
      </c>
      <c r="H107" s="2">
        <v>13521.74</v>
      </c>
      <c r="I107" t="s">
        <v>59</v>
      </c>
      <c r="J107">
        <v>163</v>
      </c>
      <c r="K107" t="s">
        <v>213</v>
      </c>
      <c r="L107" t="s">
        <v>214</v>
      </c>
      <c r="M107" t="s">
        <v>62</v>
      </c>
      <c r="N107" t="s">
        <v>63</v>
      </c>
      <c r="O107" t="s">
        <v>64</v>
      </c>
      <c r="P107">
        <v>485</v>
      </c>
      <c r="Q107">
        <v>6598</v>
      </c>
      <c r="R107" t="s">
        <v>65</v>
      </c>
    </row>
    <row r="108" spans="1:18" x14ac:dyDescent="0.2">
      <c r="A108" t="s">
        <v>215</v>
      </c>
      <c r="B108" t="s">
        <v>56</v>
      </c>
      <c r="C108" t="s">
        <v>56</v>
      </c>
      <c r="D108" t="s">
        <v>52</v>
      </c>
      <c r="E108" t="str">
        <f>"C27R1is"</f>
        <v>C27R1is</v>
      </c>
      <c r="F108" t="s">
        <v>67</v>
      </c>
      <c r="G108" t="s">
        <v>68</v>
      </c>
      <c r="H108" s="2">
        <v>13344.62</v>
      </c>
      <c r="I108" t="s">
        <v>69</v>
      </c>
      <c r="J108">
        <v>745</v>
      </c>
      <c r="K108" t="s">
        <v>213</v>
      </c>
      <c r="L108" t="s">
        <v>214</v>
      </c>
      <c r="M108" t="s">
        <v>62</v>
      </c>
      <c r="N108" t="s">
        <v>63</v>
      </c>
      <c r="O108" t="s">
        <v>64</v>
      </c>
      <c r="P108">
        <v>485</v>
      </c>
      <c r="Q108">
        <v>6598</v>
      </c>
      <c r="R108" t="s">
        <v>65</v>
      </c>
    </row>
    <row r="109" spans="1:18" x14ac:dyDescent="0.2">
      <c r="A109" t="s">
        <v>216</v>
      </c>
      <c r="B109" t="s">
        <v>56</v>
      </c>
      <c r="C109" t="s">
        <v>56</v>
      </c>
      <c r="D109" t="s">
        <v>52</v>
      </c>
      <c r="E109" t="str">
        <f>"C27R2g"</f>
        <v>C27R2g</v>
      </c>
      <c r="F109" t="s">
        <v>71</v>
      </c>
      <c r="G109" t="s">
        <v>72</v>
      </c>
      <c r="H109" s="2">
        <v>32816.93</v>
      </c>
      <c r="I109" t="s">
        <v>73</v>
      </c>
      <c r="J109">
        <v>348</v>
      </c>
      <c r="K109" t="s">
        <v>217</v>
      </c>
      <c r="L109" t="s">
        <v>218</v>
      </c>
      <c r="M109" t="s">
        <v>62</v>
      </c>
      <c r="N109" t="s">
        <v>63</v>
      </c>
      <c r="O109" t="s">
        <v>64</v>
      </c>
      <c r="P109">
        <v>485</v>
      </c>
      <c r="Q109">
        <v>6598</v>
      </c>
      <c r="R109" t="s">
        <v>65</v>
      </c>
    </row>
    <row r="110" spans="1:18" x14ac:dyDescent="0.2">
      <c r="A110" t="s">
        <v>219</v>
      </c>
      <c r="B110" t="s">
        <v>56</v>
      </c>
      <c r="C110" t="s">
        <v>56</v>
      </c>
      <c r="D110" t="s">
        <v>52</v>
      </c>
      <c r="E110" t="str">
        <f>"C28R1is"</f>
        <v>C28R1is</v>
      </c>
      <c r="F110" t="s">
        <v>57</v>
      </c>
      <c r="G110" t="s">
        <v>58</v>
      </c>
      <c r="H110" s="2">
        <v>59387.94</v>
      </c>
      <c r="I110" t="s">
        <v>220</v>
      </c>
      <c r="J110">
        <v>689</v>
      </c>
      <c r="K110" t="s">
        <v>221</v>
      </c>
      <c r="L110" t="s">
        <v>222</v>
      </c>
      <c r="M110" t="s">
        <v>62</v>
      </c>
      <c r="N110" t="s">
        <v>63</v>
      </c>
      <c r="O110" t="s">
        <v>64</v>
      </c>
      <c r="P110">
        <v>485</v>
      </c>
      <c r="Q110">
        <v>6598</v>
      </c>
      <c r="R110" t="s">
        <v>65</v>
      </c>
    </row>
    <row r="111" spans="1:18" x14ac:dyDescent="0.2">
      <c r="A111" t="s">
        <v>223</v>
      </c>
      <c r="B111" t="s">
        <v>56</v>
      </c>
      <c r="C111" t="s">
        <v>56</v>
      </c>
      <c r="D111" t="s">
        <v>52</v>
      </c>
      <c r="E111" t="str">
        <f>"C28R1is"</f>
        <v>C28R1is</v>
      </c>
      <c r="F111" t="s">
        <v>67</v>
      </c>
      <c r="G111" t="s">
        <v>68</v>
      </c>
      <c r="H111" s="2">
        <v>33994.660000000003</v>
      </c>
      <c r="I111" t="s">
        <v>224</v>
      </c>
      <c r="J111">
        <v>1521</v>
      </c>
      <c r="K111" t="s">
        <v>221</v>
      </c>
      <c r="L111" t="s">
        <v>222</v>
      </c>
      <c r="M111" t="s">
        <v>62</v>
      </c>
      <c r="N111" t="s">
        <v>63</v>
      </c>
      <c r="O111" t="s">
        <v>64</v>
      </c>
      <c r="P111">
        <v>485</v>
      </c>
      <c r="Q111">
        <v>6598</v>
      </c>
      <c r="R111" t="s">
        <v>65</v>
      </c>
    </row>
    <row r="112" spans="1:18" x14ac:dyDescent="0.2">
      <c r="A112" t="s">
        <v>225</v>
      </c>
      <c r="B112" t="s">
        <v>56</v>
      </c>
      <c r="C112" t="s">
        <v>56</v>
      </c>
      <c r="D112" t="s">
        <v>52</v>
      </c>
      <c r="E112" t="str">
        <f>"C28R2g"</f>
        <v>C28R2g</v>
      </c>
      <c r="F112" t="s">
        <v>71</v>
      </c>
      <c r="G112" t="s">
        <v>72</v>
      </c>
      <c r="H112" s="2">
        <v>23197.49</v>
      </c>
      <c r="I112" t="s">
        <v>73</v>
      </c>
      <c r="J112">
        <v>207</v>
      </c>
      <c r="K112" t="s">
        <v>226</v>
      </c>
      <c r="L112" t="s">
        <v>227</v>
      </c>
      <c r="M112" t="s">
        <v>62</v>
      </c>
      <c r="N112" t="s">
        <v>63</v>
      </c>
      <c r="O112" t="s">
        <v>64</v>
      </c>
      <c r="P112">
        <v>485</v>
      </c>
      <c r="Q112">
        <v>6598</v>
      </c>
      <c r="R112" t="s">
        <v>65</v>
      </c>
    </row>
    <row r="113" spans="1:20" x14ac:dyDescent="0.2">
      <c r="A113" t="s">
        <v>228</v>
      </c>
      <c r="B113" t="s">
        <v>56</v>
      </c>
      <c r="C113" t="s">
        <v>56</v>
      </c>
      <c r="D113" t="s">
        <v>52</v>
      </c>
      <c r="E113" t="str">
        <f>"C29R1is"</f>
        <v>C29R1is</v>
      </c>
      <c r="F113" t="s">
        <v>57</v>
      </c>
      <c r="G113" t="s">
        <v>58</v>
      </c>
      <c r="H113" s="2">
        <v>19473.27</v>
      </c>
      <c r="I113" t="s">
        <v>59</v>
      </c>
      <c r="J113">
        <v>240</v>
      </c>
      <c r="K113" t="s">
        <v>229</v>
      </c>
      <c r="L113" t="s">
        <v>230</v>
      </c>
      <c r="M113" t="s">
        <v>62</v>
      </c>
      <c r="N113" t="s">
        <v>63</v>
      </c>
      <c r="O113" t="s">
        <v>64</v>
      </c>
      <c r="P113">
        <v>485</v>
      </c>
      <c r="Q113">
        <v>6598</v>
      </c>
      <c r="R113" t="s">
        <v>65</v>
      </c>
    </row>
    <row r="114" spans="1:20" x14ac:dyDescent="0.2">
      <c r="A114" t="s">
        <v>231</v>
      </c>
      <c r="B114" t="s">
        <v>56</v>
      </c>
      <c r="C114" t="s">
        <v>56</v>
      </c>
      <c r="D114" t="s">
        <v>52</v>
      </c>
      <c r="E114" t="str">
        <f>"C29R1is"</f>
        <v>C29R1is</v>
      </c>
      <c r="F114" t="s">
        <v>67</v>
      </c>
      <c r="G114" t="s">
        <v>68</v>
      </c>
      <c r="H114" s="2">
        <v>21821.53</v>
      </c>
      <c r="I114" t="s">
        <v>69</v>
      </c>
      <c r="J114">
        <v>1629</v>
      </c>
      <c r="K114" t="s">
        <v>229</v>
      </c>
      <c r="L114" t="s">
        <v>230</v>
      </c>
      <c r="M114" t="s">
        <v>62</v>
      </c>
      <c r="N114" t="s">
        <v>63</v>
      </c>
      <c r="O114" t="s">
        <v>64</v>
      </c>
      <c r="P114">
        <v>485</v>
      </c>
      <c r="Q114">
        <v>6598</v>
      </c>
      <c r="R114" t="s">
        <v>65</v>
      </c>
    </row>
    <row r="115" spans="1:20" x14ac:dyDescent="0.2">
      <c r="A115" t="s">
        <v>232</v>
      </c>
      <c r="B115" t="s">
        <v>56</v>
      </c>
      <c r="C115" t="s">
        <v>56</v>
      </c>
      <c r="D115" t="s">
        <v>52</v>
      </c>
      <c r="E115" t="str">
        <f>"C29R2g"</f>
        <v>C29R2g</v>
      </c>
      <c r="F115" t="s">
        <v>71</v>
      </c>
      <c r="G115" t="s">
        <v>72</v>
      </c>
      <c r="H115" s="2">
        <v>226342.77</v>
      </c>
      <c r="I115" t="s">
        <v>73</v>
      </c>
      <c r="J115">
        <v>3487</v>
      </c>
      <c r="K115" t="s">
        <v>233</v>
      </c>
      <c r="L115" t="s">
        <v>234</v>
      </c>
      <c r="M115" t="s">
        <v>62</v>
      </c>
      <c r="N115" t="s">
        <v>63</v>
      </c>
      <c r="O115" t="s">
        <v>64</v>
      </c>
      <c r="P115">
        <v>485</v>
      </c>
      <c r="Q115">
        <v>6598</v>
      </c>
      <c r="R115" t="s">
        <v>65</v>
      </c>
    </row>
    <row r="116" spans="1:20" x14ac:dyDescent="0.2">
      <c r="A116" t="s">
        <v>235</v>
      </c>
      <c r="B116" t="s">
        <v>56</v>
      </c>
      <c r="C116" t="s">
        <v>56</v>
      </c>
      <c r="D116" t="s">
        <v>52</v>
      </c>
      <c r="E116" t="str">
        <f>"C30R1is"</f>
        <v>C30R1is</v>
      </c>
      <c r="F116" t="s">
        <v>57</v>
      </c>
      <c r="G116" t="s">
        <v>58</v>
      </c>
      <c r="H116" s="2">
        <v>18851.36</v>
      </c>
      <c r="I116" t="s">
        <v>59</v>
      </c>
      <c r="J116">
        <v>209</v>
      </c>
      <c r="K116" t="s">
        <v>236</v>
      </c>
      <c r="L116" t="s">
        <v>237</v>
      </c>
      <c r="M116" t="s">
        <v>62</v>
      </c>
      <c r="N116" t="s">
        <v>63</v>
      </c>
      <c r="O116" t="s">
        <v>64</v>
      </c>
      <c r="P116">
        <v>485</v>
      </c>
      <c r="Q116">
        <v>6598</v>
      </c>
      <c r="R116" t="s">
        <v>65</v>
      </c>
    </row>
    <row r="117" spans="1:20" x14ac:dyDescent="0.2">
      <c r="A117" t="s">
        <v>238</v>
      </c>
      <c r="B117" t="s">
        <v>56</v>
      </c>
      <c r="C117" t="s">
        <v>56</v>
      </c>
      <c r="D117" t="s">
        <v>52</v>
      </c>
      <c r="E117" t="str">
        <f>"C30R1is"</f>
        <v>C30R1is</v>
      </c>
      <c r="F117" t="s">
        <v>67</v>
      </c>
      <c r="G117" t="s">
        <v>68</v>
      </c>
      <c r="H117" s="2">
        <v>18422.740000000002</v>
      </c>
      <c r="I117" t="s">
        <v>69</v>
      </c>
      <c r="J117">
        <v>1204</v>
      </c>
      <c r="K117" t="s">
        <v>236</v>
      </c>
      <c r="L117" t="s">
        <v>237</v>
      </c>
      <c r="M117" t="s">
        <v>62</v>
      </c>
      <c r="N117" t="s">
        <v>63</v>
      </c>
      <c r="O117" t="s">
        <v>64</v>
      </c>
      <c r="P117">
        <v>485</v>
      </c>
      <c r="Q117">
        <v>6598</v>
      </c>
      <c r="R117" t="s">
        <v>65</v>
      </c>
    </row>
    <row r="118" spans="1:20" x14ac:dyDescent="0.2">
      <c r="A118" t="s">
        <v>239</v>
      </c>
      <c r="B118" t="s">
        <v>56</v>
      </c>
      <c r="C118" t="s">
        <v>56</v>
      </c>
      <c r="D118" t="s">
        <v>52</v>
      </c>
      <c r="E118" t="str">
        <f>"C30R2g"</f>
        <v>C30R2g</v>
      </c>
      <c r="F118" t="s">
        <v>71</v>
      </c>
      <c r="G118" t="s">
        <v>72</v>
      </c>
      <c r="H118" s="2">
        <v>259341.78</v>
      </c>
      <c r="I118" t="s">
        <v>73</v>
      </c>
      <c r="J118">
        <v>2986</v>
      </c>
      <c r="K118" t="s">
        <v>240</v>
      </c>
      <c r="L118" t="s">
        <v>241</v>
      </c>
      <c r="M118" t="s">
        <v>62</v>
      </c>
      <c r="N118" t="s">
        <v>63</v>
      </c>
      <c r="O118" t="s">
        <v>64</v>
      </c>
      <c r="P118">
        <v>485</v>
      </c>
      <c r="Q118">
        <v>6598</v>
      </c>
      <c r="R118" t="s">
        <v>65</v>
      </c>
      <c r="T118" s="1"/>
    </row>
    <row r="119" spans="1:20" x14ac:dyDescent="0.2">
      <c r="A119" t="s">
        <v>1097</v>
      </c>
      <c r="H119" s="4">
        <f>SUM(H24:H118)</f>
        <v>7307492.9099999992</v>
      </c>
      <c r="T119" s="1"/>
    </row>
    <row r="120" spans="1:20" x14ac:dyDescent="0.2">
      <c r="A120" t="s">
        <v>242</v>
      </c>
      <c r="B120" t="s">
        <v>54</v>
      </c>
      <c r="H120" s="1"/>
    </row>
    <row r="121" spans="1:20" x14ac:dyDescent="0.2">
      <c r="A121" t="s">
        <v>243</v>
      </c>
      <c r="B121" t="s">
        <v>56</v>
      </c>
      <c r="C121" t="s">
        <v>56</v>
      </c>
      <c r="D121" t="s">
        <v>52</v>
      </c>
      <c r="E121" t="str">
        <f>"C31R1is"</f>
        <v>C31R1is</v>
      </c>
      <c r="F121" t="s">
        <v>57</v>
      </c>
      <c r="G121" t="s">
        <v>58</v>
      </c>
      <c r="H121" s="1">
        <v>59386.18</v>
      </c>
      <c r="I121" t="s">
        <v>59</v>
      </c>
      <c r="J121">
        <v>504</v>
      </c>
      <c r="K121" t="s">
        <v>244</v>
      </c>
      <c r="L121" t="s">
        <v>245</v>
      </c>
      <c r="M121" t="s">
        <v>62</v>
      </c>
      <c r="N121" t="s">
        <v>63</v>
      </c>
      <c r="O121" t="s">
        <v>64</v>
      </c>
      <c r="P121">
        <v>485</v>
      </c>
      <c r="Q121">
        <v>6598</v>
      </c>
      <c r="R121" t="s">
        <v>65</v>
      </c>
    </row>
    <row r="122" spans="1:20" x14ac:dyDescent="0.2">
      <c r="A122" t="s">
        <v>246</v>
      </c>
      <c r="B122" t="s">
        <v>56</v>
      </c>
      <c r="C122" t="s">
        <v>56</v>
      </c>
      <c r="D122" t="s">
        <v>52</v>
      </c>
      <c r="E122" t="str">
        <f>"C31R1is"</f>
        <v>C31R1is</v>
      </c>
      <c r="F122" t="s">
        <v>67</v>
      </c>
      <c r="G122" t="s">
        <v>68</v>
      </c>
      <c r="H122" s="1">
        <v>6617.43</v>
      </c>
      <c r="I122" t="s">
        <v>69</v>
      </c>
      <c r="J122">
        <v>227</v>
      </c>
      <c r="K122" t="s">
        <v>244</v>
      </c>
      <c r="L122" t="s">
        <v>245</v>
      </c>
      <c r="M122" t="s">
        <v>62</v>
      </c>
      <c r="N122" t="s">
        <v>63</v>
      </c>
      <c r="O122" t="s">
        <v>64</v>
      </c>
      <c r="P122">
        <v>485</v>
      </c>
      <c r="Q122">
        <v>6598</v>
      </c>
      <c r="R122" t="s">
        <v>65</v>
      </c>
    </row>
    <row r="123" spans="1:20" x14ac:dyDescent="0.2">
      <c r="A123" t="s">
        <v>247</v>
      </c>
      <c r="B123" t="s">
        <v>56</v>
      </c>
      <c r="C123" t="s">
        <v>56</v>
      </c>
      <c r="D123" t="s">
        <v>52</v>
      </c>
      <c r="E123" t="str">
        <f>"C31R2g"</f>
        <v>C31R2g</v>
      </c>
      <c r="F123" t="s">
        <v>71</v>
      </c>
      <c r="G123" t="s">
        <v>72</v>
      </c>
      <c r="H123" s="1">
        <v>185140.45</v>
      </c>
      <c r="I123" t="s">
        <v>73</v>
      </c>
      <c r="J123">
        <v>562</v>
      </c>
      <c r="K123" t="s">
        <v>248</v>
      </c>
      <c r="L123" t="s">
        <v>249</v>
      </c>
      <c r="M123" t="s">
        <v>62</v>
      </c>
      <c r="N123" t="s">
        <v>63</v>
      </c>
      <c r="O123" t="s">
        <v>64</v>
      </c>
      <c r="P123">
        <v>485</v>
      </c>
      <c r="Q123">
        <v>6598</v>
      </c>
      <c r="R123" t="s">
        <v>65</v>
      </c>
    </row>
    <row r="124" spans="1:20" x14ac:dyDescent="0.2">
      <c r="A124" t="s">
        <v>250</v>
      </c>
      <c r="B124" t="s">
        <v>56</v>
      </c>
      <c r="C124" t="s">
        <v>56</v>
      </c>
      <c r="D124" t="s">
        <v>52</v>
      </c>
      <c r="E124" t="str">
        <f>"C32R1is"</f>
        <v>C32R1is</v>
      </c>
      <c r="F124" t="s">
        <v>57</v>
      </c>
      <c r="G124" t="s">
        <v>58</v>
      </c>
      <c r="H124" s="1">
        <v>50375.05</v>
      </c>
      <c r="I124" t="s">
        <v>59</v>
      </c>
      <c r="J124">
        <v>437</v>
      </c>
      <c r="K124" t="s">
        <v>251</v>
      </c>
      <c r="L124" t="s">
        <v>252</v>
      </c>
      <c r="M124" t="s">
        <v>62</v>
      </c>
      <c r="N124" t="s">
        <v>63</v>
      </c>
      <c r="O124" t="s">
        <v>64</v>
      </c>
      <c r="P124">
        <v>485</v>
      </c>
      <c r="Q124">
        <v>6598</v>
      </c>
      <c r="R124" t="s">
        <v>65</v>
      </c>
    </row>
    <row r="125" spans="1:20" x14ac:dyDescent="0.2">
      <c r="A125" t="s">
        <v>253</v>
      </c>
      <c r="B125" t="s">
        <v>56</v>
      </c>
      <c r="C125" t="s">
        <v>56</v>
      </c>
      <c r="D125" t="s">
        <v>52</v>
      </c>
      <c r="E125" t="str">
        <f>"C32R1is"</f>
        <v>C32R1is</v>
      </c>
      <c r="F125" t="s">
        <v>67</v>
      </c>
      <c r="G125" t="s">
        <v>68</v>
      </c>
      <c r="H125" s="1">
        <v>19111.68</v>
      </c>
      <c r="I125" t="s">
        <v>69</v>
      </c>
      <c r="J125">
        <v>438</v>
      </c>
      <c r="K125" t="s">
        <v>251</v>
      </c>
      <c r="L125" t="s">
        <v>252</v>
      </c>
      <c r="M125" t="s">
        <v>62</v>
      </c>
      <c r="N125" t="s">
        <v>63</v>
      </c>
      <c r="O125" t="s">
        <v>64</v>
      </c>
      <c r="P125">
        <v>485</v>
      </c>
      <c r="Q125">
        <v>6598</v>
      </c>
      <c r="R125" t="s">
        <v>65</v>
      </c>
    </row>
    <row r="126" spans="1:20" x14ac:dyDescent="0.2">
      <c r="A126" t="s">
        <v>254</v>
      </c>
      <c r="B126" t="s">
        <v>56</v>
      </c>
      <c r="C126" t="s">
        <v>56</v>
      </c>
      <c r="D126" t="s">
        <v>52</v>
      </c>
      <c r="E126" t="str">
        <f>"C32R2g"</f>
        <v>C32R2g</v>
      </c>
      <c r="F126" t="s">
        <v>71</v>
      </c>
      <c r="G126" t="s">
        <v>72</v>
      </c>
      <c r="H126" s="1">
        <v>114244.32</v>
      </c>
      <c r="I126" t="s">
        <v>73</v>
      </c>
      <c r="J126">
        <v>361</v>
      </c>
      <c r="K126" t="s">
        <v>255</v>
      </c>
      <c r="L126" t="s">
        <v>256</v>
      </c>
      <c r="M126" t="s">
        <v>62</v>
      </c>
      <c r="N126" t="s">
        <v>63</v>
      </c>
      <c r="O126" t="s">
        <v>64</v>
      </c>
      <c r="P126">
        <v>485</v>
      </c>
      <c r="Q126">
        <v>6598</v>
      </c>
      <c r="R126" t="s">
        <v>65</v>
      </c>
    </row>
    <row r="127" spans="1:20" x14ac:dyDescent="0.2">
      <c r="A127" t="s">
        <v>257</v>
      </c>
      <c r="B127" t="s">
        <v>56</v>
      </c>
      <c r="C127" t="s">
        <v>56</v>
      </c>
      <c r="D127" t="s">
        <v>52</v>
      </c>
      <c r="E127" t="str">
        <f>"C33R1is"</f>
        <v>C33R1is</v>
      </c>
      <c r="F127" t="s">
        <v>57</v>
      </c>
      <c r="G127" t="s">
        <v>58</v>
      </c>
      <c r="H127" s="1">
        <v>28282.33</v>
      </c>
      <c r="I127" t="s">
        <v>59</v>
      </c>
      <c r="J127">
        <v>386</v>
      </c>
      <c r="K127">
        <v>19674</v>
      </c>
      <c r="L127">
        <v>25152</v>
      </c>
      <c r="M127" t="s">
        <v>62</v>
      </c>
      <c r="N127" t="s">
        <v>63</v>
      </c>
      <c r="O127" t="s">
        <v>64</v>
      </c>
      <c r="P127">
        <v>485</v>
      </c>
      <c r="Q127">
        <v>6598</v>
      </c>
      <c r="R127" t="s">
        <v>65</v>
      </c>
    </row>
    <row r="128" spans="1:20" x14ac:dyDescent="0.2">
      <c r="A128" t="s">
        <v>258</v>
      </c>
      <c r="B128" t="s">
        <v>56</v>
      </c>
      <c r="C128" t="s">
        <v>56</v>
      </c>
      <c r="D128" t="s">
        <v>52</v>
      </c>
      <c r="E128" t="str">
        <f>"C33R1is"</f>
        <v>C33R1is</v>
      </c>
      <c r="F128" t="s">
        <v>67</v>
      </c>
      <c r="G128" t="s">
        <v>68</v>
      </c>
      <c r="H128" s="1">
        <v>62692.02</v>
      </c>
      <c r="I128" t="s">
        <v>69</v>
      </c>
      <c r="J128">
        <v>3417</v>
      </c>
      <c r="K128">
        <v>19674</v>
      </c>
      <c r="L128">
        <v>25152</v>
      </c>
      <c r="M128" t="s">
        <v>62</v>
      </c>
      <c r="N128" t="s">
        <v>63</v>
      </c>
      <c r="O128" t="s">
        <v>64</v>
      </c>
      <c r="P128">
        <v>485</v>
      </c>
      <c r="Q128">
        <v>6598</v>
      </c>
      <c r="R128" t="s">
        <v>65</v>
      </c>
    </row>
    <row r="129" spans="1:18" x14ac:dyDescent="0.2">
      <c r="A129" t="s">
        <v>259</v>
      </c>
      <c r="B129" t="s">
        <v>56</v>
      </c>
      <c r="C129" t="s">
        <v>56</v>
      </c>
      <c r="D129" t="s">
        <v>52</v>
      </c>
      <c r="E129" t="str">
        <f>"C33R2g"</f>
        <v>C33R2g</v>
      </c>
      <c r="F129" t="s">
        <v>71</v>
      </c>
      <c r="G129" t="s">
        <v>72</v>
      </c>
      <c r="H129" s="1">
        <v>286553.73</v>
      </c>
      <c r="I129" t="s">
        <v>73</v>
      </c>
      <c r="J129">
        <v>3870</v>
      </c>
      <c r="K129">
        <v>19992</v>
      </c>
      <c r="L129">
        <v>26779</v>
      </c>
      <c r="M129" t="s">
        <v>62</v>
      </c>
      <c r="N129" t="s">
        <v>63</v>
      </c>
      <c r="O129" t="s">
        <v>64</v>
      </c>
      <c r="P129">
        <v>485</v>
      </c>
      <c r="Q129">
        <v>6598</v>
      </c>
      <c r="R129" t="s">
        <v>65</v>
      </c>
    </row>
    <row r="130" spans="1:18" x14ac:dyDescent="0.2">
      <c r="A130" t="s">
        <v>260</v>
      </c>
      <c r="B130" t="s">
        <v>56</v>
      </c>
      <c r="C130" t="s">
        <v>56</v>
      </c>
      <c r="D130" t="s">
        <v>52</v>
      </c>
      <c r="E130" t="str">
        <f>"C34R1is"</f>
        <v>C34R1is</v>
      </c>
      <c r="F130" t="s">
        <v>57</v>
      </c>
      <c r="G130" t="s">
        <v>58</v>
      </c>
      <c r="H130" s="1">
        <v>11441.79</v>
      </c>
      <c r="I130" t="s">
        <v>59</v>
      </c>
      <c r="J130">
        <v>164</v>
      </c>
      <c r="K130" t="s">
        <v>261</v>
      </c>
      <c r="L130" t="s">
        <v>262</v>
      </c>
      <c r="M130" t="s">
        <v>62</v>
      </c>
      <c r="N130" t="s">
        <v>63</v>
      </c>
      <c r="O130" t="s">
        <v>64</v>
      </c>
      <c r="P130">
        <v>485</v>
      </c>
      <c r="Q130">
        <v>6598</v>
      </c>
      <c r="R130" t="s">
        <v>65</v>
      </c>
    </row>
    <row r="131" spans="1:18" x14ac:dyDescent="0.2">
      <c r="A131" t="s">
        <v>263</v>
      </c>
      <c r="B131" t="s">
        <v>56</v>
      </c>
      <c r="C131" t="s">
        <v>56</v>
      </c>
      <c r="D131" t="s">
        <v>52</v>
      </c>
      <c r="E131" t="str">
        <f>"C34R1is"</f>
        <v>C34R1is</v>
      </c>
      <c r="F131" t="s">
        <v>67</v>
      </c>
      <c r="G131" t="s">
        <v>68</v>
      </c>
      <c r="H131" s="1">
        <v>33924.9</v>
      </c>
      <c r="I131" t="s">
        <v>69</v>
      </c>
      <c r="J131">
        <v>2150</v>
      </c>
      <c r="K131" t="s">
        <v>261</v>
      </c>
      <c r="L131" t="s">
        <v>262</v>
      </c>
      <c r="M131" t="s">
        <v>62</v>
      </c>
      <c r="N131" t="s">
        <v>63</v>
      </c>
      <c r="O131" t="s">
        <v>64</v>
      </c>
      <c r="P131">
        <v>485</v>
      </c>
      <c r="Q131">
        <v>6598</v>
      </c>
      <c r="R131" t="s">
        <v>65</v>
      </c>
    </row>
    <row r="132" spans="1:18" x14ac:dyDescent="0.2">
      <c r="A132" t="s">
        <v>264</v>
      </c>
      <c r="B132" t="s">
        <v>56</v>
      </c>
      <c r="C132" t="s">
        <v>56</v>
      </c>
      <c r="D132" t="s">
        <v>52</v>
      </c>
      <c r="E132" t="str">
        <f>"C34R2g"</f>
        <v>C34R2g</v>
      </c>
      <c r="F132" t="s">
        <v>71</v>
      </c>
      <c r="G132" t="s">
        <v>72</v>
      </c>
      <c r="H132" s="1">
        <v>266880.46999999997</v>
      </c>
      <c r="I132" t="s">
        <v>73</v>
      </c>
      <c r="J132">
        <v>3768</v>
      </c>
      <c r="K132" t="s">
        <v>265</v>
      </c>
      <c r="L132" t="s">
        <v>266</v>
      </c>
      <c r="M132" t="s">
        <v>62</v>
      </c>
      <c r="N132" t="s">
        <v>63</v>
      </c>
      <c r="O132" t="s">
        <v>64</v>
      </c>
      <c r="P132">
        <v>485</v>
      </c>
      <c r="Q132">
        <v>6598</v>
      </c>
      <c r="R132" t="s">
        <v>65</v>
      </c>
    </row>
    <row r="133" spans="1:18" x14ac:dyDescent="0.2">
      <c r="A133" t="s">
        <v>267</v>
      </c>
      <c r="B133" t="s">
        <v>56</v>
      </c>
      <c r="C133" t="s">
        <v>56</v>
      </c>
      <c r="D133" t="s">
        <v>52</v>
      </c>
      <c r="E133" t="str">
        <f>"C35R1is"</f>
        <v>C35R1is</v>
      </c>
      <c r="F133" t="s">
        <v>57</v>
      </c>
      <c r="G133" t="s">
        <v>58</v>
      </c>
      <c r="H133" s="1">
        <v>8905.86</v>
      </c>
      <c r="I133" t="s">
        <v>59</v>
      </c>
      <c r="J133">
        <v>49</v>
      </c>
      <c r="K133">
        <v>20448</v>
      </c>
      <c r="L133">
        <v>13575</v>
      </c>
      <c r="M133" t="s">
        <v>62</v>
      </c>
      <c r="N133" t="s">
        <v>63</v>
      </c>
      <c r="O133" t="s">
        <v>64</v>
      </c>
      <c r="P133">
        <v>485</v>
      </c>
      <c r="Q133">
        <v>6598</v>
      </c>
      <c r="R133" t="s">
        <v>65</v>
      </c>
    </row>
    <row r="134" spans="1:18" x14ac:dyDescent="0.2">
      <c r="A134" t="s">
        <v>268</v>
      </c>
      <c r="B134" t="s">
        <v>56</v>
      </c>
      <c r="C134" t="s">
        <v>56</v>
      </c>
      <c r="D134" t="s">
        <v>52</v>
      </c>
      <c r="E134" t="str">
        <f>"C35R1is"</f>
        <v>C35R1is</v>
      </c>
      <c r="F134" t="s">
        <v>67</v>
      </c>
      <c r="G134" t="s">
        <v>68</v>
      </c>
      <c r="H134" s="1">
        <v>21765.69</v>
      </c>
      <c r="I134" t="s">
        <v>69</v>
      </c>
      <c r="J134">
        <v>1076</v>
      </c>
      <c r="K134">
        <v>20448</v>
      </c>
      <c r="L134">
        <v>13575</v>
      </c>
      <c r="M134" t="s">
        <v>62</v>
      </c>
      <c r="N134" t="s">
        <v>63</v>
      </c>
      <c r="O134" t="s">
        <v>64</v>
      </c>
      <c r="P134">
        <v>485</v>
      </c>
      <c r="Q134">
        <v>6598</v>
      </c>
      <c r="R134" t="s">
        <v>65</v>
      </c>
    </row>
    <row r="135" spans="1:18" x14ac:dyDescent="0.2">
      <c r="A135" t="s">
        <v>269</v>
      </c>
      <c r="B135" t="s">
        <v>56</v>
      </c>
      <c r="C135" t="s">
        <v>56</v>
      </c>
      <c r="D135" t="s">
        <v>52</v>
      </c>
      <c r="E135" t="str">
        <f>"C35R2ig"</f>
        <v>C35R2ig</v>
      </c>
      <c r="F135" t="s">
        <v>57</v>
      </c>
      <c r="G135" t="s">
        <v>58</v>
      </c>
      <c r="H135" s="1">
        <v>19291.990000000002</v>
      </c>
      <c r="I135" t="s">
        <v>113</v>
      </c>
      <c r="J135">
        <v>152</v>
      </c>
      <c r="K135">
        <v>20330</v>
      </c>
      <c r="L135">
        <v>14987</v>
      </c>
      <c r="M135" t="s">
        <v>62</v>
      </c>
      <c r="N135" t="s">
        <v>63</v>
      </c>
      <c r="O135" t="s">
        <v>64</v>
      </c>
      <c r="P135">
        <v>485</v>
      </c>
      <c r="Q135">
        <v>6598</v>
      </c>
      <c r="R135" t="s">
        <v>65</v>
      </c>
    </row>
    <row r="136" spans="1:18" x14ac:dyDescent="0.2">
      <c r="A136" t="s">
        <v>270</v>
      </c>
      <c r="B136" t="s">
        <v>56</v>
      </c>
      <c r="C136" t="s">
        <v>56</v>
      </c>
      <c r="D136" t="s">
        <v>52</v>
      </c>
      <c r="E136" t="str">
        <f>"C35R2ig"</f>
        <v>C35R2ig</v>
      </c>
      <c r="F136" t="s">
        <v>71</v>
      </c>
      <c r="G136" t="s">
        <v>72</v>
      </c>
      <c r="H136" s="1">
        <v>212237.37</v>
      </c>
      <c r="I136" t="s">
        <v>73</v>
      </c>
      <c r="J136">
        <v>1214</v>
      </c>
      <c r="K136">
        <v>20330</v>
      </c>
      <c r="L136">
        <v>14987</v>
      </c>
      <c r="M136" t="s">
        <v>62</v>
      </c>
      <c r="N136" t="s">
        <v>63</v>
      </c>
      <c r="O136" t="s">
        <v>64</v>
      </c>
      <c r="P136">
        <v>485</v>
      </c>
      <c r="Q136">
        <v>6598</v>
      </c>
      <c r="R136" t="s">
        <v>65</v>
      </c>
    </row>
    <row r="137" spans="1:18" x14ac:dyDescent="0.2">
      <c r="A137" t="s">
        <v>271</v>
      </c>
      <c r="B137" t="s">
        <v>56</v>
      </c>
      <c r="C137" t="s">
        <v>56</v>
      </c>
      <c r="D137" t="s">
        <v>52</v>
      </c>
      <c r="E137" t="str">
        <f>"C36R1is"</f>
        <v>C36R1is</v>
      </c>
      <c r="F137" t="s">
        <v>57</v>
      </c>
      <c r="G137" t="s">
        <v>58</v>
      </c>
      <c r="H137" s="1">
        <v>10868.69</v>
      </c>
      <c r="I137" t="s">
        <v>59</v>
      </c>
      <c r="J137">
        <v>79</v>
      </c>
      <c r="K137">
        <v>19000</v>
      </c>
      <c r="L137">
        <v>5681</v>
      </c>
      <c r="M137" t="s">
        <v>62</v>
      </c>
      <c r="N137" t="s">
        <v>63</v>
      </c>
      <c r="O137" t="s">
        <v>64</v>
      </c>
      <c r="P137">
        <v>485</v>
      </c>
      <c r="Q137">
        <v>6598</v>
      </c>
      <c r="R137" t="s">
        <v>65</v>
      </c>
    </row>
    <row r="138" spans="1:18" x14ac:dyDescent="0.2">
      <c r="A138" t="s">
        <v>272</v>
      </c>
      <c r="B138" t="s">
        <v>56</v>
      </c>
      <c r="C138" t="s">
        <v>56</v>
      </c>
      <c r="D138" t="s">
        <v>52</v>
      </c>
      <c r="E138" t="str">
        <f>"C36R1is"</f>
        <v>C36R1is</v>
      </c>
      <c r="F138" t="s">
        <v>67</v>
      </c>
      <c r="G138" t="s">
        <v>68</v>
      </c>
      <c r="H138" s="1">
        <v>9891.75</v>
      </c>
      <c r="I138" t="s">
        <v>69</v>
      </c>
      <c r="J138">
        <v>714</v>
      </c>
      <c r="K138">
        <v>19000</v>
      </c>
      <c r="L138">
        <v>5681</v>
      </c>
      <c r="M138" t="s">
        <v>62</v>
      </c>
      <c r="N138" t="s">
        <v>63</v>
      </c>
      <c r="O138" t="s">
        <v>64</v>
      </c>
      <c r="P138">
        <v>485</v>
      </c>
      <c r="Q138">
        <v>6598</v>
      </c>
      <c r="R138" t="s">
        <v>65</v>
      </c>
    </row>
    <row r="139" spans="1:18" x14ac:dyDescent="0.2">
      <c r="A139" t="s">
        <v>273</v>
      </c>
      <c r="B139" t="s">
        <v>56</v>
      </c>
      <c r="C139" t="s">
        <v>56</v>
      </c>
      <c r="D139" t="s">
        <v>52</v>
      </c>
      <c r="E139" t="str">
        <f>"C36R2ig"</f>
        <v>C36R2ig</v>
      </c>
      <c r="F139" t="s">
        <v>57</v>
      </c>
      <c r="G139" t="s">
        <v>58</v>
      </c>
      <c r="H139" s="1">
        <v>14056.13</v>
      </c>
      <c r="I139" t="s">
        <v>113</v>
      </c>
      <c r="J139">
        <v>72</v>
      </c>
      <c r="K139">
        <v>20221</v>
      </c>
      <c r="L139">
        <v>8314</v>
      </c>
      <c r="M139" t="s">
        <v>62</v>
      </c>
      <c r="N139" t="s">
        <v>63</v>
      </c>
      <c r="O139" t="s">
        <v>64</v>
      </c>
      <c r="P139">
        <v>485</v>
      </c>
      <c r="Q139">
        <v>6598</v>
      </c>
      <c r="R139" t="s">
        <v>65</v>
      </c>
    </row>
    <row r="140" spans="1:18" x14ac:dyDescent="0.2">
      <c r="A140" t="s">
        <v>274</v>
      </c>
      <c r="B140" t="s">
        <v>56</v>
      </c>
      <c r="C140" t="s">
        <v>56</v>
      </c>
      <c r="D140" t="s">
        <v>52</v>
      </c>
      <c r="E140" t="str">
        <f>"C36R2ig"</f>
        <v>C36R2ig</v>
      </c>
      <c r="F140" t="s">
        <v>71</v>
      </c>
      <c r="G140" t="s">
        <v>72</v>
      </c>
      <c r="H140" s="1">
        <v>147451</v>
      </c>
      <c r="I140" t="s">
        <v>73</v>
      </c>
      <c r="J140">
        <v>708</v>
      </c>
      <c r="K140">
        <v>20221</v>
      </c>
      <c r="L140">
        <v>8314</v>
      </c>
      <c r="M140" t="s">
        <v>62</v>
      </c>
      <c r="N140" t="s">
        <v>63</v>
      </c>
      <c r="O140" t="s">
        <v>64</v>
      </c>
      <c r="P140">
        <v>485</v>
      </c>
      <c r="Q140">
        <v>6598</v>
      </c>
      <c r="R140" t="s">
        <v>65</v>
      </c>
    </row>
    <row r="141" spans="1:18" x14ac:dyDescent="0.2">
      <c r="A141" t="s">
        <v>275</v>
      </c>
      <c r="B141" t="s">
        <v>56</v>
      </c>
      <c r="C141" t="s">
        <v>56</v>
      </c>
      <c r="D141" t="s">
        <v>52</v>
      </c>
      <c r="E141" t="str">
        <f>"C37R1is"</f>
        <v>C37R1is</v>
      </c>
      <c r="F141" t="s">
        <v>57</v>
      </c>
      <c r="G141" t="s">
        <v>58</v>
      </c>
      <c r="H141" s="1">
        <v>14050.85</v>
      </c>
      <c r="I141" t="s">
        <v>59</v>
      </c>
      <c r="J141">
        <v>207</v>
      </c>
      <c r="K141">
        <v>13094</v>
      </c>
      <c r="L141">
        <v>26156</v>
      </c>
      <c r="M141" t="s">
        <v>62</v>
      </c>
      <c r="N141" t="s">
        <v>63</v>
      </c>
      <c r="O141" t="s">
        <v>64</v>
      </c>
      <c r="P141">
        <v>485</v>
      </c>
      <c r="Q141">
        <v>6598</v>
      </c>
      <c r="R141" t="s">
        <v>65</v>
      </c>
    </row>
    <row r="142" spans="1:18" x14ac:dyDescent="0.2">
      <c r="A142" t="s">
        <v>276</v>
      </c>
      <c r="B142" t="s">
        <v>56</v>
      </c>
      <c r="C142" t="s">
        <v>56</v>
      </c>
      <c r="D142" t="s">
        <v>52</v>
      </c>
      <c r="E142" t="str">
        <f>"C37R1is"</f>
        <v>C37R1is</v>
      </c>
      <c r="F142" t="s">
        <v>67</v>
      </c>
      <c r="G142" t="s">
        <v>68</v>
      </c>
      <c r="H142" s="1">
        <v>119580.98</v>
      </c>
      <c r="I142" t="s">
        <v>69</v>
      </c>
      <c r="J142">
        <v>3753</v>
      </c>
      <c r="K142">
        <v>13094</v>
      </c>
      <c r="L142">
        <v>26156</v>
      </c>
      <c r="M142" t="s">
        <v>62</v>
      </c>
      <c r="N142" t="s">
        <v>63</v>
      </c>
      <c r="O142" t="s">
        <v>64</v>
      </c>
      <c r="P142">
        <v>485</v>
      </c>
      <c r="Q142">
        <v>6598</v>
      </c>
      <c r="R142" t="s">
        <v>65</v>
      </c>
    </row>
    <row r="143" spans="1:18" x14ac:dyDescent="0.2">
      <c r="A143" t="s">
        <v>277</v>
      </c>
      <c r="B143" t="s">
        <v>56</v>
      </c>
      <c r="C143" t="s">
        <v>56</v>
      </c>
      <c r="D143" t="s">
        <v>52</v>
      </c>
      <c r="E143" t="str">
        <f>"C37R2ig"</f>
        <v>C37R2ig</v>
      </c>
      <c r="F143" t="s">
        <v>57</v>
      </c>
      <c r="G143" t="s">
        <v>58</v>
      </c>
      <c r="H143" s="1">
        <v>7976.6</v>
      </c>
      <c r="I143" t="s">
        <v>113</v>
      </c>
      <c r="J143">
        <v>122</v>
      </c>
      <c r="K143">
        <v>14303</v>
      </c>
      <c r="L143">
        <v>27685</v>
      </c>
      <c r="M143" t="s">
        <v>62</v>
      </c>
      <c r="N143" t="s">
        <v>63</v>
      </c>
      <c r="O143" t="s">
        <v>64</v>
      </c>
      <c r="P143">
        <v>485</v>
      </c>
      <c r="Q143">
        <v>6598</v>
      </c>
      <c r="R143" t="s">
        <v>65</v>
      </c>
    </row>
    <row r="144" spans="1:18" x14ac:dyDescent="0.2">
      <c r="A144" t="s">
        <v>278</v>
      </c>
      <c r="B144" t="s">
        <v>56</v>
      </c>
      <c r="C144" t="s">
        <v>56</v>
      </c>
      <c r="D144" t="s">
        <v>52</v>
      </c>
      <c r="E144" t="str">
        <f>"C37R2ig"</f>
        <v>C37R2ig</v>
      </c>
      <c r="F144" t="s">
        <v>71</v>
      </c>
      <c r="G144" t="s">
        <v>72</v>
      </c>
      <c r="H144" s="1">
        <v>239539.72</v>
      </c>
      <c r="I144" t="s">
        <v>73</v>
      </c>
      <c r="J144">
        <v>3288</v>
      </c>
      <c r="K144">
        <v>14303</v>
      </c>
      <c r="L144">
        <v>27685</v>
      </c>
      <c r="M144" t="s">
        <v>62</v>
      </c>
      <c r="N144" t="s">
        <v>63</v>
      </c>
      <c r="O144" t="s">
        <v>64</v>
      </c>
      <c r="P144">
        <v>485</v>
      </c>
      <c r="Q144">
        <v>6598</v>
      </c>
      <c r="R144" t="s">
        <v>65</v>
      </c>
    </row>
    <row r="145" spans="1:18" x14ac:dyDescent="0.2">
      <c r="A145" t="s">
        <v>279</v>
      </c>
      <c r="B145" t="s">
        <v>56</v>
      </c>
      <c r="C145" t="s">
        <v>56</v>
      </c>
      <c r="D145" t="s">
        <v>52</v>
      </c>
      <c r="E145" t="str">
        <f>"C38R1is"</f>
        <v>C38R1is</v>
      </c>
      <c r="F145" t="s">
        <v>57</v>
      </c>
      <c r="G145" t="s">
        <v>58</v>
      </c>
      <c r="H145" s="1">
        <v>19929.580000000002</v>
      </c>
      <c r="I145" t="s">
        <v>59</v>
      </c>
      <c r="J145">
        <v>149</v>
      </c>
      <c r="K145">
        <v>13599</v>
      </c>
      <c r="L145">
        <v>19402</v>
      </c>
      <c r="M145" t="s">
        <v>62</v>
      </c>
      <c r="N145" t="s">
        <v>63</v>
      </c>
      <c r="O145" t="s">
        <v>64</v>
      </c>
      <c r="P145">
        <v>485</v>
      </c>
      <c r="Q145">
        <v>6598</v>
      </c>
      <c r="R145" t="s">
        <v>65</v>
      </c>
    </row>
    <row r="146" spans="1:18" x14ac:dyDescent="0.2">
      <c r="A146" t="s">
        <v>280</v>
      </c>
      <c r="B146" t="s">
        <v>56</v>
      </c>
      <c r="C146" t="s">
        <v>56</v>
      </c>
      <c r="D146" t="s">
        <v>52</v>
      </c>
      <c r="E146" t="str">
        <f>"C38R1is"</f>
        <v>C38R1is</v>
      </c>
      <c r="F146" t="s">
        <v>67</v>
      </c>
      <c r="G146" t="s">
        <v>68</v>
      </c>
      <c r="H146" s="1">
        <v>35662.94</v>
      </c>
      <c r="I146" t="s">
        <v>69</v>
      </c>
      <c r="J146">
        <v>2608</v>
      </c>
      <c r="K146">
        <v>13599</v>
      </c>
      <c r="L146">
        <v>19402</v>
      </c>
      <c r="M146" t="s">
        <v>62</v>
      </c>
      <c r="N146" t="s">
        <v>63</v>
      </c>
      <c r="O146" t="s">
        <v>64</v>
      </c>
      <c r="P146">
        <v>485</v>
      </c>
      <c r="Q146">
        <v>6598</v>
      </c>
      <c r="R146" t="s">
        <v>65</v>
      </c>
    </row>
    <row r="147" spans="1:18" x14ac:dyDescent="0.2">
      <c r="A147" t="s">
        <v>281</v>
      </c>
      <c r="B147" t="s">
        <v>56</v>
      </c>
      <c r="C147" t="s">
        <v>56</v>
      </c>
      <c r="D147" t="s">
        <v>52</v>
      </c>
      <c r="E147" t="str">
        <f>"C38R2g"</f>
        <v>C38R2g</v>
      </c>
      <c r="F147" t="s">
        <v>71</v>
      </c>
      <c r="G147" t="s">
        <v>72</v>
      </c>
      <c r="H147" s="1">
        <v>223260.93</v>
      </c>
      <c r="I147" t="s">
        <v>73</v>
      </c>
      <c r="J147">
        <v>3446</v>
      </c>
      <c r="K147">
        <v>14384</v>
      </c>
      <c r="L147">
        <v>20465</v>
      </c>
      <c r="M147" t="s">
        <v>62</v>
      </c>
      <c r="N147" t="s">
        <v>63</v>
      </c>
      <c r="O147" t="s">
        <v>64</v>
      </c>
      <c r="P147">
        <v>485</v>
      </c>
      <c r="Q147">
        <v>6598</v>
      </c>
      <c r="R147" t="s">
        <v>65</v>
      </c>
    </row>
    <row r="148" spans="1:18" x14ac:dyDescent="0.2">
      <c r="A148" t="s">
        <v>282</v>
      </c>
      <c r="B148" t="s">
        <v>56</v>
      </c>
      <c r="C148" t="s">
        <v>56</v>
      </c>
      <c r="D148" t="s">
        <v>52</v>
      </c>
      <c r="E148" t="str">
        <f>"C39R1is"</f>
        <v>C39R1is</v>
      </c>
      <c r="F148" t="s">
        <v>57</v>
      </c>
      <c r="G148" t="s">
        <v>58</v>
      </c>
      <c r="H148" s="1">
        <v>8408.91</v>
      </c>
      <c r="I148" t="s">
        <v>59</v>
      </c>
      <c r="J148">
        <v>125</v>
      </c>
      <c r="K148">
        <v>13466</v>
      </c>
      <c r="L148">
        <v>12223</v>
      </c>
      <c r="M148" t="s">
        <v>62</v>
      </c>
      <c r="N148" t="s">
        <v>63</v>
      </c>
      <c r="O148" t="s">
        <v>64</v>
      </c>
      <c r="P148">
        <v>485</v>
      </c>
      <c r="Q148">
        <v>6598</v>
      </c>
      <c r="R148" t="s">
        <v>65</v>
      </c>
    </row>
    <row r="149" spans="1:18" x14ac:dyDescent="0.2">
      <c r="A149" t="s">
        <v>283</v>
      </c>
      <c r="B149" t="s">
        <v>56</v>
      </c>
      <c r="C149" t="s">
        <v>56</v>
      </c>
      <c r="D149" t="s">
        <v>52</v>
      </c>
      <c r="E149" t="str">
        <f>"C39R1is"</f>
        <v>C39R1is</v>
      </c>
      <c r="F149" t="s">
        <v>67</v>
      </c>
      <c r="G149" t="s">
        <v>68</v>
      </c>
      <c r="H149" s="1">
        <v>32286.71</v>
      </c>
      <c r="I149" t="s">
        <v>69</v>
      </c>
      <c r="J149">
        <v>1704</v>
      </c>
      <c r="K149">
        <v>13466</v>
      </c>
      <c r="L149">
        <v>12223</v>
      </c>
      <c r="M149" t="s">
        <v>62</v>
      </c>
      <c r="N149" t="s">
        <v>63</v>
      </c>
      <c r="O149" t="s">
        <v>64</v>
      </c>
      <c r="P149">
        <v>485</v>
      </c>
      <c r="Q149">
        <v>6598</v>
      </c>
      <c r="R149" t="s">
        <v>65</v>
      </c>
    </row>
    <row r="150" spans="1:18" x14ac:dyDescent="0.2">
      <c r="A150" t="s">
        <v>284</v>
      </c>
      <c r="B150" t="s">
        <v>56</v>
      </c>
      <c r="C150" t="s">
        <v>56</v>
      </c>
      <c r="D150" t="s">
        <v>52</v>
      </c>
      <c r="E150" t="str">
        <f>"C39R2ig"</f>
        <v>C39R2ig</v>
      </c>
      <c r="F150" t="s">
        <v>57</v>
      </c>
      <c r="G150" t="s">
        <v>58</v>
      </c>
      <c r="H150" s="1">
        <v>12470.57</v>
      </c>
      <c r="I150" t="s">
        <v>113</v>
      </c>
      <c r="J150">
        <v>212</v>
      </c>
      <c r="K150">
        <v>14057</v>
      </c>
      <c r="L150">
        <v>13771</v>
      </c>
      <c r="M150" t="s">
        <v>62</v>
      </c>
      <c r="N150" t="s">
        <v>63</v>
      </c>
      <c r="O150" t="s">
        <v>64</v>
      </c>
      <c r="P150">
        <v>485</v>
      </c>
      <c r="Q150">
        <v>6598</v>
      </c>
      <c r="R150" t="s">
        <v>65</v>
      </c>
    </row>
    <row r="151" spans="1:18" x14ac:dyDescent="0.2">
      <c r="A151" t="s">
        <v>285</v>
      </c>
      <c r="B151" t="s">
        <v>56</v>
      </c>
      <c r="C151" t="s">
        <v>56</v>
      </c>
      <c r="D151" t="s">
        <v>52</v>
      </c>
      <c r="E151" t="str">
        <f>"C39R2ig"</f>
        <v>C39R2ig</v>
      </c>
      <c r="F151" t="s">
        <v>71</v>
      </c>
      <c r="G151" t="s">
        <v>72</v>
      </c>
      <c r="H151" s="1">
        <v>154924.41</v>
      </c>
      <c r="I151" t="s">
        <v>73</v>
      </c>
      <c r="J151">
        <v>2585</v>
      </c>
      <c r="K151">
        <v>14057</v>
      </c>
      <c r="L151">
        <v>13771</v>
      </c>
      <c r="M151" t="s">
        <v>62</v>
      </c>
      <c r="N151" t="s">
        <v>63</v>
      </c>
      <c r="O151" t="s">
        <v>64</v>
      </c>
      <c r="P151">
        <v>485</v>
      </c>
      <c r="Q151">
        <v>6598</v>
      </c>
      <c r="R151" t="s">
        <v>65</v>
      </c>
    </row>
    <row r="152" spans="1:18" x14ac:dyDescent="0.2">
      <c r="A152" t="s">
        <v>286</v>
      </c>
      <c r="B152" t="s">
        <v>56</v>
      </c>
      <c r="C152" t="s">
        <v>56</v>
      </c>
      <c r="D152" t="s">
        <v>52</v>
      </c>
      <c r="E152" t="str">
        <f>"C40R1is"</f>
        <v>C40R1is</v>
      </c>
      <c r="F152" t="s">
        <v>57</v>
      </c>
      <c r="G152" t="s">
        <v>58</v>
      </c>
      <c r="H152" s="1">
        <v>11179.88</v>
      </c>
      <c r="I152" t="s">
        <v>59</v>
      </c>
      <c r="J152">
        <v>192</v>
      </c>
      <c r="K152">
        <v>12889</v>
      </c>
      <c r="L152">
        <v>6800</v>
      </c>
      <c r="M152" t="s">
        <v>62</v>
      </c>
      <c r="N152" t="s">
        <v>63</v>
      </c>
      <c r="O152" t="s">
        <v>64</v>
      </c>
      <c r="P152">
        <v>485</v>
      </c>
      <c r="Q152">
        <v>6598</v>
      </c>
      <c r="R152" t="s">
        <v>65</v>
      </c>
    </row>
    <row r="153" spans="1:18" x14ac:dyDescent="0.2">
      <c r="A153" t="s">
        <v>287</v>
      </c>
      <c r="B153" t="s">
        <v>56</v>
      </c>
      <c r="C153" t="s">
        <v>56</v>
      </c>
      <c r="D153" t="s">
        <v>52</v>
      </c>
      <c r="E153" t="str">
        <f>"C40R1is"</f>
        <v>C40R1is</v>
      </c>
      <c r="F153" t="s">
        <v>67</v>
      </c>
      <c r="G153" t="s">
        <v>68</v>
      </c>
      <c r="H153" s="1">
        <v>26291.98</v>
      </c>
      <c r="I153" t="s">
        <v>69</v>
      </c>
      <c r="J153">
        <v>1461</v>
      </c>
      <c r="K153">
        <v>12889</v>
      </c>
      <c r="L153">
        <v>6800</v>
      </c>
      <c r="M153" t="s">
        <v>62</v>
      </c>
      <c r="N153" t="s">
        <v>63</v>
      </c>
      <c r="O153" t="s">
        <v>64</v>
      </c>
      <c r="P153">
        <v>485</v>
      </c>
      <c r="Q153">
        <v>6598</v>
      </c>
      <c r="R153" t="s">
        <v>65</v>
      </c>
    </row>
    <row r="154" spans="1:18" x14ac:dyDescent="0.2">
      <c r="A154" t="s">
        <v>288</v>
      </c>
      <c r="B154" t="s">
        <v>56</v>
      </c>
      <c r="C154" t="s">
        <v>56</v>
      </c>
      <c r="D154" t="s">
        <v>52</v>
      </c>
      <c r="E154" t="str">
        <f>"C40R2g"</f>
        <v>C40R2g</v>
      </c>
      <c r="F154" t="s">
        <v>71</v>
      </c>
      <c r="G154" t="s">
        <v>72</v>
      </c>
      <c r="H154" s="1">
        <v>179027.48</v>
      </c>
      <c r="I154" t="s">
        <v>73</v>
      </c>
      <c r="J154">
        <v>2262</v>
      </c>
      <c r="K154">
        <v>11416</v>
      </c>
      <c r="L154">
        <v>6064</v>
      </c>
      <c r="M154" t="s">
        <v>62</v>
      </c>
      <c r="N154" t="s">
        <v>63</v>
      </c>
      <c r="O154" t="s">
        <v>64</v>
      </c>
      <c r="P154">
        <v>485</v>
      </c>
      <c r="Q154">
        <v>6598</v>
      </c>
      <c r="R154" t="s">
        <v>65</v>
      </c>
    </row>
    <row r="155" spans="1:18" x14ac:dyDescent="0.2">
      <c r="A155" t="s">
        <v>289</v>
      </c>
      <c r="B155" t="s">
        <v>290</v>
      </c>
      <c r="C155" t="s">
        <v>290</v>
      </c>
      <c r="D155" t="s">
        <v>52</v>
      </c>
      <c r="E155" t="str">
        <f>"C01R1is"</f>
        <v>C01R1is</v>
      </c>
      <c r="F155" t="s">
        <v>57</v>
      </c>
      <c r="G155" t="s">
        <v>58</v>
      </c>
      <c r="H155" s="1">
        <v>13651.5</v>
      </c>
      <c r="I155" t="s">
        <v>291</v>
      </c>
      <c r="J155">
        <v>109</v>
      </c>
      <c r="K155">
        <v>69631</v>
      </c>
      <c r="L155">
        <v>35106</v>
      </c>
      <c r="M155" t="s">
        <v>292</v>
      </c>
      <c r="N155" t="s">
        <v>293</v>
      </c>
      <c r="O155" t="s">
        <v>294</v>
      </c>
      <c r="P155">
        <v>6926</v>
      </c>
      <c r="Q155">
        <v>5830</v>
      </c>
      <c r="R155" t="s">
        <v>65</v>
      </c>
    </row>
    <row r="156" spans="1:18" x14ac:dyDescent="0.2">
      <c r="A156" t="s">
        <v>295</v>
      </c>
      <c r="B156" t="s">
        <v>290</v>
      </c>
      <c r="C156" t="s">
        <v>290</v>
      </c>
      <c r="D156" t="s">
        <v>52</v>
      </c>
      <c r="E156" t="str">
        <f>"C01R1is"</f>
        <v>C01R1is</v>
      </c>
      <c r="F156" t="s">
        <v>67</v>
      </c>
      <c r="G156" t="s">
        <v>68</v>
      </c>
      <c r="H156" s="1">
        <v>43254.43</v>
      </c>
      <c r="I156" t="s">
        <v>296</v>
      </c>
      <c r="J156">
        <v>2293</v>
      </c>
      <c r="K156">
        <v>69631</v>
      </c>
      <c r="L156">
        <v>35106</v>
      </c>
      <c r="M156" t="s">
        <v>292</v>
      </c>
      <c r="N156" t="s">
        <v>293</v>
      </c>
      <c r="O156" t="s">
        <v>294</v>
      </c>
      <c r="P156">
        <v>6926</v>
      </c>
      <c r="Q156">
        <v>5830</v>
      </c>
      <c r="R156" t="s">
        <v>65</v>
      </c>
    </row>
    <row r="157" spans="1:18" x14ac:dyDescent="0.2">
      <c r="A157" t="s">
        <v>297</v>
      </c>
      <c r="B157" t="s">
        <v>290</v>
      </c>
      <c r="C157" t="s">
        <v>290</v>
      </c>
      <c r="D157" t="s">
        <v>52</v>
      </c>
      <c r="E157" t="str">
        <f>"C01R2g"</f>
        <v>C01R2g</v>
      </c>
      <c r="F157" t="s">
        <v>71</v>
      </c>
      <c r="G157" t="s">
        <v>72</v>
      </c>
      <c r="H157" s="1">
        <v>62342.91</v>
      </c>
      <c r="I157" t="s">
        <v>298</v>
      </c>
      <c r="J157">
        <v>466</v>
      </c>
      <c r="K157">
        <v>68313</v>
      </c>
      <c r="L157">
        <v>34440</v>
      </c>
      <c r="M157" t="s">
        <v>292</v>
      </c>
      <c r="N157" t="s">
        <v>293</v>
      </c>
      <c r="O157" t="s">
        <v>294</v>
      </c>
      <c r="P157">
        <v>6926</v>
      </c>
      <c r="Q157">
        <v>5830</v>
      </c>
      <c r="R157" t="s">
        <v>65</v>
      </c>
    </row>
    <row r="158" spans="1:18" x14ac:dyDescent="0.2">
      <c r="A158" t="s">
        <v>299</v>
      </c>
      <c r="B158" t="s">
        <v>290</v>
      </c>
      <c r="C158" t="s">
        <v>290</v>
      </c>
      <c r="D158" t="s">
        <v>52</v>
      </c>
      <c r="E158" t="str">
        <f>"C02R1is"</f>
        <v>C02R1is</v>
      </c>
      <c r="F158" t="s">
        <v>57</v>
      </c>
      <c r="G158" t="s">
        <v>58</v>
      </c>
      <c r="H158" s="1">
        <v>14399.8</v>
      </c>
      <c r="I158" t="s">
        <v>291</v>
      </c>
      <c r="J158">
        <v>140</v>
      </c>
      <c r="K158">
        <v>68295</v>
      </c>
      <c r="L158">
        <v>26727</v>
      </c>
      <c r="M158" t="s">
        <v>292</v>
      </c>
      <c r="N158" t="s">
        <v>293</v>
      </c>
      <c r="O158" t="s">
        <v>294</v>
      </c>
      <c r="P158">
        <v>6926</v>
      </c>
      <c r="Q158">
        <v>5830</v>
      </c>
      <c r="R158" t="s">
        <v>65</v>
      </c>
    </row>
    <row r="159" spans="1:18" x14ac:dyDescent="0.2">
      <c r="A159" t="s">
        <v>300</v>
      </c>
      <c r="B159" t="s">
        <v>290</v>
      </c>
      <c r="C159" t="s">
        <v>290</v>
      </c>
      <c r="D159" t="s">
        <v>52</v>
      </c>
      <c r="E159" t="str">
        <f>"C02R1is"</f>
        <v>C02R1is</v>
      </c>
      <c r="F159" t="s">
        <v>67</v>
      </c>
      <c r="G159" t="s">
        <v>68</v>
      </c>
      <c r="H159" s="1">
        <v>64271.34</v>
      </c>
      <c r="I159" t="s">
        <v>296</v>
      </c>
      <c r="J159">
        <v>3114</v>
      </c>
      <c r="K159">
        <v>68295</v>
      </c>
      <c r="L159">
        <v>26727</v>
      </c>
      <c r="M159" t="s">
        <v>292</v>
      </c>
      <c r="N159" t="s">
        <v>293</v>
      </c>
      <c r="O159" t="s">
        <v>294</v>
      </c>
      <c r="P159">
        <v>6926</v>
      </c>
      <c r="Q159">
        <v>5830</v>
      </c>
      <c r="R159" t="s">
        <v>65</v>
      </c>
    </row>
    <row r="160" spans="1:18" x14ac:dyDescent="0.2">
      <c r="A160" t="s">
        <v>301</v>
      </c>
      <c r="B160" t="s">
        <v>290</v>
      </c>
      <c r="C160" t="s">
        <v>290</v>
      </c>
      <c r="D160" t="s">
        <v>52</v>
      </c>
      <c r="E160" t="str">
        <f>"C02R2g"</f>
        <v>C02R2g</v>
      </c>
      <c r="F160" t="s">
        <v>71</v>
      </c>
      <c r="G160" t="s">
        <v>72</v>
      </c>
      <c r="H160" s="1">
        <v>98987.9</v>
      </c>
      <c r="I160" t="s">
        <v>298</v>
      </c>
      <c r="J160">
        <v>949</v>
      </c>
      <c r="K160">
        <v>68813</v>
      </c>
      <c r="L160">
        <v>28232</v>
      </c>
      <c r="M160" t="s">
        <v>292</v>
      </c>
      <c r="N160" t="s">
        <v>293</v>
      </c>
      <c r="O160" t="s">
        <v>294</v>
      </c>
      <c r="P160">
        <v>6926</v>
      </c>
      <c r="Q160">
        <v>5830</v>
      </c>
      <c r="R160" t="s">
        <v>65</v>
      </c>
    </row>
    <row r="161" spans="1:18" x14ac:dyDescent="0.2">
      <c r="A161" t="s">
        <v>302</v>
      </c>
      <c r="B161" t="s">
        <v>290</v>
      </c>
      <c r="C161" t="s">
        <v>290</v>
      </c>
      <c r="D161" t="s">
        <v>52</v>
      </c>
      <c r="E161" t="str">
        <f>"C03R1is"</f>
        <v>C03R1is</v>
      </c>
      <c r="F161" t="s">
        <v>57</v>
      </c>
      <c r="G161" t="s">
        <v>58</v>
      </c>
      <c r="H161" s="1">
        <v>28779.27</v>
      </c>
      <c r="I161" t="s">
        <v>291</v>
      </c>
      <c r="J161">
        <v>219</v>
      </c>
      <c r="K161" t="s">
        <v>303</v>
      </c>
      <c r="L161" t="s">
        <v>304</v>
      </c>
      <c r="M161" t="s">
        <v>292</v>
      </c>
      <c r="N161" t="s">
        <v>293</v>
      </c>
      <c r="O161" t="s">
        <v>294</v>
      </c>
      <c r="P161">
        <v>6926</v>
      </c>
      <c r="Q161">
        <v>5830</v>
      </c>
      <c r="R161" t="s">
        <v>65</v>
      </c>
    </row>
    <row r="162" spans="1:18" x14ac:dyDescent="0.2">
      <c r="A162" t="s">
        <v>305</v>
      </c>
      <c r="B162" t="s">
        <v>290</v>
      </c>
      <c r="C162" t="s">
        <v>290</v>
      </c>
      <c r="D162" t="s">
        <v>52</v>
      </c>
      <c r="E162" t="str">
        <f>"C03R1is"</f>
        <v>C03R1is</v>
      </c>
      <c r="F162" t="s">
        <v>67</v>
      </c>
      <c r="G162" t="s">
        <v>68</v>
      </c>
      <c r="H162" s="1">
        <v>15936.08</v>
      </c>
      <c r="I162" t="s">
        <v>296</v>
      </c>
      <c r="J162">
        <v>952</v>
      </c>
      <c r="K162" t="s">
        <v>303</v>
      </c>
      <c r="L162" t="s">
        <v>304</v>
      </c>
      <c r="M162" t="s">
        <v>292</v>
      </c>
      <c r="N162" t="s">
        <v>293</v>
      </c>
      <c r="O162" t="s">
        <v>294</v>
      </c>
      <c r="P162">
        <v>6926</v>
      </c>
      <c r="Q162">
        <v>5830</v>
      </c>
      <c r="R162" t="s">
        <v>65</v>
      </c>
    </row>
    <row r="163" spans="1:18" x14ac:dyDescent="0.2">
      <c r="A163" t="s">
        <v>306</v>
      </c>
      <c r="B163" t="s">
        <v>290</v>
      </c>
      <c r="C163" t="s">
        <v>290</v>
      </c>
      <c r="D163" t="s">
        <v>52</v>
      </c>
      <c r="E163" t="str">
        <f>"C03R2g"</f>
        <v>C03R2g</v>
      </c>
      <c r="F163" t="s">
        <v>71</v>
      </c>
      <c r="G163" t="s">
        <v>72</v>
      </c>
      <c r="H163" s="1">
        <v>145094.26</v>
      </c>
      <c r="I163" t="s">
        <v>298</v>
      </c>
      <c r="J163">
        <v>710</v>
      </c>
      <c r="K163" t="s">
        <v>307</v>
      </c>
      <c r="L163" t="s">
        <v>308</v>
      </c>
      <c r="M163" t="s">
        <v>292</v>
      </c>
      <c r="N163" t="s">
        <v>293</v>
      </c>
      <c r="O163" t="s">
        <v>294</v>
      </c>
      <c r="P163">
        <v>6926</v>
      </c>
      <c r="Q163">
        <v>5830</v>
      </c>
      <c r="R163" t="s">
        <v>65</v>
      </c>
    </row>
    <row r="164" spans="1:18" x14ac:dyDescent="0.2">
      <c r="A164" t="s">
        <v>309</v>
      </c>
      <c r="B164" t="s">
        <v>290</v>
      </c>
      <c r="C164" t="s">
        <v>290</v>
      </c>
      <c r="D164" t="s">
        <v>52</v>
      </c>
      <c r="E164" t="str">
        <f>"C04R1is"</f>
        <v>C04R1is</v>
      </c>
      <c r="F164" t="s">
        <v>57</v>
      </c>
      <c r="G164" t="s">
        <v>58</v>
      </c>
      <c r="H164" s="1">
        <v>11360.35</v>
      </c>
      <c r="I164" t="s">
        <v>291</v>
      </c>
      <c r="J164">
        <v>135</v>
      </c>
      <c r="K164">
        <v>68871</v>
      </c>
      <c r="L164">
        <v>13907</v>
      </c>
      <c r="M164" t="s">
        <v>292</v>
      </c>
      <c r="N164" t="s">
        <v>293</v>
      </c>
      <c r="O164" t="s">
        <v>294</v>
      </c>
      <c r="P164">
        <v>6926</v>
      </c>
      <c r="Q164">
        <v>5830</v>
      </c>
      <c r="R164" t="s">
        <v>65</v>
      </c>
    </row>
    <row r="165" spans="1:18" x14ac:dyDescent="0.2">
      <c r="A165" t="s">
        <v>310</v>
      </c>
      <c r="B165" t="s">
        <v>290</v>
      </c>
      <c r="C165" t="s">
        <v>290</v>
      </c>
      <c r="D165" t="s">
        <v>52</v>
      </c>
      <c r="E165" t="str">
        <f>"C04R1is"</f>
        <v>C04R1is</v>
      </c>
      <c r="F165" t="s">
        <v>67</v>
      </c>
      <c r="G165" t="s">
        <v>68</v>
      </c>
      <c r="H165" s="1">
        <v>12149.93</v>
      </c>
      <c r="I165" t="s">
        <v>296</v>
      </c>
      <c r="J165">
        <v>733</v>
      </c>
      <c r="K165">
        <v>68871</v>
      </c>
      <c r="L165">
        <v>13907</v>
      </c>
      <c r="M165" t="s">
        <v>292</v>
      </c>
      <c r="N165" t="s">
        <v>293</v>
      </c>
      <c r="O165" t="s">
        <v>294</v>
      </c>
      <c r="P165">
        <v>6926</v>
      </c>
      <c r="Q165">
        <v>5830</v>
      </c>
      <c r="R165" t="s">
        <v>65</v>
      </c>
    </row>
    <row r="166" spans="1:18" x14ac:dyDescent="0.2">
      <c r="A166" t="s">
        <v>311</v>
      </c>
      <c r="B166" t="s">
        <v>290</v>
      </c>
      <c r="C166" t="s">
        <v>290</v>
      </c>
      <c r="D166" t="s">
        <v>52</v>
      </c>
      <c r="E166" t="str">
        <f>"C04R2g"</f>
        <v>C04R2g</v>
      </c>
      <c r="F166" t="s">
        <v>71</v>
      </c>
      <c r="G166" t="s">
        <v>72</v>
      </c>
      <c r="H166" s="1">
        <v>83541.89</v>
      </c>
      <c r="I166" t="s">
        <v>298</v>
      </c>
      <c r="J166">
        <v>569</v>
      </c>
      <c r="K166">
        <v>69305</v>
      </c>
      <c r="L166">
        <v>15264</v>
      </c>
      <c r="M166" t="s">
        <v>292</v>
      </c>
      <c r="N166" t="s">
        <v>293</v>
      </c>
      <c r="O166" t="s">
        <v>294</v>
      </c>
      <c r="P166">
        <v>6926</v>
      </c>
      <c r="Q166">
        <v>5830</v>
      </c>
      <c r="R166" t="s">
        <v>65</v>
      </c>
    </row>
    <row r="167" spans="1:18" x14ac:dyDescent="0.2">
      <c r="A167" t="s">
        <v>312</v>
      </c>
      <c r="B167" t="s">
        <v>290</v>
      </c>
      <c r="C167" t="s">
        <v>290</v>
      </c>
      <c r="D167" t="s">
        <v>52</v>
      </c>
      <c r="E167" t="str">
        <f>"C05R1is"</f>
        <v>C05R1is</v>
      </c>
      <c r="F167" t="s">
        <v>57</v>
      </c>
      <c r="G167" t="s">
        <v>58</v>
      </c>
      <c r="H167" s="1">
        <v>23975.4</v>
      </c>
      <c r="I167" t="s">
        <v>291</v>
      </c>
      <c r="J167">
        <v>333</v>
      </c>
      <c r="K167">
        <v>60445</v>
      </c>
      <c r="L167">
        <v>34153</v>
      </c>
      <c r="M167" t="s">
        <v>292</v>
      </c>
      <c r="N167" t="s">
        <v>293</v>
      </c>
      <c r="O167" t="s">
        <v>294</v>
      </c>
      <c r="P167">
        <v>6926</v>
      </c>
      <c r="Q167">
        <v>5830</v>
      </c>
      <c r="R167" t="s">
        <v>65</v>
      </c>
    </row>
    <row r="168" spans="1:18" x14ac:dyDescent="0.2">
      <c r="A168" t="s">
        <v>313</v>
      </c>
      <c r="B168" t="s">
        <v>290</v>
      </c>
      <c r="C168" t="s">
        <v>290</v>
      </c>
      <c r="D168" t="s">
        <v>52</v>
      </c>
      <c r="E168" t="str">
        <f>"C05R1is"</f>
        <v>C05R1is</v>
      </c>
      <c r="F168" t="s">
        <v>67</v>
      </c>
      <c r="G168" t="s">
        <v>68</v>
      </c>
      <c r="H168" s="1">
        <v>27106.2</v>
      </c>
      <c r="I168" t="s">
        <v>296</v>
      </c>
      <c r="J168">
        <v>1956</v>
      </c>
      <c r="K168">
        <v>60445</v>
      </c>
      <c r="L168">
        <v>34153</v>
      </c>
      <c r="M168" t="s">
        <v>292</v>
      </c>
      <c r="N168" t="s">
        <v>293</v>
      </c>
      <c r="O168" t="s">
        <v>294</v>
      </c>
      <c r="P168">
        <v>6926</v>
      </c>
      <c r="Q168">
        <v>5830</v>
      </c>
      <c r="R168" t="s">
        <v>65</v>
      </c>
    </row>
    <row r="169" spans="1:18" x14ac:dyDescent="0.2">
      <c r="A169" t="s">
        <v>314</v>
      </c>
      <c r="B169" t="s">
        <v>290</v>
      </c>
      <c r="C169" t="s">
        <v>290</v>
      </c>
      <c r="D169" t="s">
        <v>52</v>
      </c>
      <c r="E169" t="str">
        <f>"C05R2g"</f>
        <v>C05R2g</v>
      </c>
      <c r="F169" t="s">
        <v>71</v>
      </c>
      <c r="G169" t="s">
        <v>72</v>
      </c>
      <c r="H169" s="1">
        <v>132202.43</v>
      </c>
      <c r="I169" t="s">
        <v>298</v>
      </c>
      <c r="J169">
        <v>1910</v>
      </c>
      <c r="K169">
        <v>64358</v>
      </c>
      <c r="L169">
        <v>35183</v>
      </c>
      <c r="M169" t="s">
        <v>292</v>
      </c>
      <c r="N169" t="s">
        <v>293</v>
      </c>
      <c r="O169" t="s">
        <v>294</v>
      </c>
      <c r="P169">
        <v>6926</v>
      </c>
      <c r="Q169">
        <v>5830</v>
      </c>
      <c r="R169" t="s">
        <v>65</v>
      </c>
    </row>
    <row r="170" spans="1:18" x14ac:dyDescent="0.2">
      <c r="A170" t="s">
        <v>315</v>
      </c>
      <c r="B170" t="s">
        <v>290</v>
      </c>
      <c r="C170" t="s">
        <v>290</v>
      </c>
      <c r="D170" t="s">
        <v>52</v>
      </c>
      <c r="E170" t="str">
        <f>"C06R1is"</f>
        <v>C06R1is</v>
      </c>
      <c r="F170" t="s">
        <v>57</v>
      </c>
      <c r="G170" t="s">
        <v>58</v>
      </c>
      <c r="H170" s="1">
        <v>11227.56</v>
      </c>
      <c r="I170" t="s">
        <v>291</v>
      </c>
      <c r="J170">
        <v>332</v>
      </c>
      <c r="K170">
        <v>60165</v>
      </c>
      <c r="L170">
        <v>29250</v>
      </c>
      <c r="M170" t="s">
        <v>292</v>
      </c>
      <c r="N170" t="s">
        <v>293</v>
      </c>
      <c r="O170" t="s">
        <v>294</v>
      </c>
      <c r="P170">
        <v>6926</v>
      </c>
      <c r="Q170">
        <v>5830</v>
      </c>
      <c r="R170" t="s">
        <v>65</v>
      </c>
    </row>
    <row r="171" spans="1:18" x14ac:dyDescent="0.2">
      <c r="A171" t="s">
        <v>316</v>
      </c>
      <c r="B171" t="s">
        <v>290</v>
      </c>
      <c r="C171" t="s">
        <v>290</v>
      </c>
      <c r="D171" t="s">
        <v>52</v>
      </c>
      <c r="E171" t="str">
        <f>"C06R1is"</f>
        <v>C06R1is</v>
      </c>
      <c r="F171" t="s">
        <v>67</v>
      </c>
      <c r="G171" t="s">
        <v>68</v>
      </c>
      <c r="H171" s="1">
        <v>30651.71</v>
      </c>
      <c r="I171" t="s">
        <v>296</v>
      </c>
      <c r="J171">
        <v>1841</v>
      </c>
      <c r="K171">
        <v>60165</v>
      </c>
      <c r="L171">
        <v>29250</v>
      </c>
      <c r="M171" t="s">
        <v>292</v>
      </c>
      <c r="N171" t="s">
        <v>293</v>
      </c>
      <c r="O171" t="s">
        <v>294</v>
      </c>
      <c r="P171">
        <v>6926</v>
      </c>
      <c r="Q171">
        <v>5830</v>
      </c>
      <c r="R171" t="s">
        <v>65</v>
      </c>
    </row>
    <row r="172" spans="1:18" x14ac:dyDescent="0.2">
      <c r="A172" t="s">
        <v>317</v>
      </c>
      <c r="B172" t="s">
        <v>290</v>
      </c>
      <c r="C172" t="s">
        <v>290</v>
      </c>
      <c r="D172" t="s">
        <v>52</v>
      </c>
      <c r="E172" t="str">
        <f>"C06R2g"</f>
        <v>C06R2g</v>
      </c>
      <c r="F172" t="s">
        <v>71</v>
      </c>
      <c r="G172" t="s">
        <v>72</v>
      </c>
      <c r="H172" s="1">
        <v>118978.76</v>
      </c>
      <c r="I172" t="s">
        <v>298</v>
      </c>
      <c r="J172">
        <v>1313</v>
      </c>
      <c r="K172">
        <v>60547</v>
      </c>
      <c r="L172">
        <v>27116</v>
      </c>
      <c r="M172" t="s">
        <v>292</v>
      </c>
      <c r="N172" t="s">
        <v>293</v>
      </c>
      <c r="O172" t="s">
        <v>294</v>
      </c>
      <c r="P172">
        <v>6926</v>
      </c>
      <c r="Q172">
        <v>5830</v>
      </c>
      <c r="R172" t="s">
        <v>65</v>
      </c>
    </row>
    <row r="173" spans="1:18" x14ac:dyDescent="0.2">
      <c r="A173" t="s">
        <v>318</v>
      </c>
      <c r="B173" t="s">
        <v>290</v>
      </c>
      <c r="C173" t="s">
        <v>290</v>
      </c>
      <c r="D173" t="s">
        <v>52</v>
      </c>
      <c r="E173" t="str">
        <f>"C07R1is"</f>
        <v>C07R1is</v>
      </c>
      <c r="F173" t="s">
        <v>57</v>
      </c>
      <c r="G173" t="s">
        <v>58</v>
      </c>
      <c r="H173" s="1">
        <v>32998.050000000003</v>
      </c>
      <c r="I173" t="s">
        <v>291</v>
      </c>
      <c r="J173">
        <v>442</v>
      </c>
      <c r="K173">
        <v>60794</v>
      </c>
      <c r="L173">
        <v>21146</v>
      </c>
      <c r="M173" t="s">
        <v>292</v>
      </c>
      <c r="N173" t="s">
        <v>293</v>
      </c>
      <c r="O173" t="s">
        <v>294</v>
      </c>
      <c r="P173">
        <v>6926</v>
      </c>
      <c r="Q173">
        <v>5830</v>
      </c>
      <c r="R173" t="s">
        <v>65</v>
      </c>
    </row>
    <row r="174" spans="1:18" x14ac:dyDescent="0.2">
      <c r="A174" t="s">
        <v>319</v>
      </c>
      <c r="B174" t="s">
        <v>290</v>
      </c>
      <c r="C174" t="s">
        <v>290</v>
      </c>
      <c r="D174" t="s">
        <v>52</v>
      </c>
      <c r="E174" t="str">
        <f>"C07R1is"</f>
        <v>C07R1is</v>
      </c>
      <c r="F174" t="s">
        <v>67</v>
      </c>
      <c r="G174" t="s">
        <v>68</v>
      </c>
      <c r="H174" s="1">
        <v>12632.8</v>
      </c>
      <c r="I174" t="s">
        <v>296</v>
      </c>
      <c r="J174">
        <v>791</v>
      </c>
      <c r="K174">
        <v>60794</v>
      </c>
      <c r="L174">
        <v>21146</v>
      </c>
      <c r="M174" t="s">
        <v>292</v>
      </c>
      <c r="N174" t="s">
        <v>293</v>
      </c>
      <c r="O174" t="s">
        <v>294</v>
      </c>
      <c r="P174">
        <v>6926</v>
      </c>
      <c r="Q174">
        <v>5830</v>
      </c>
      <c r="R174" t="s">
        <v>65</v>
      </c>
    </row>
    <row r="175" spans="1:18" x14ac:dyDescent="0.2">
      <c r="A175" t="s">
        <v>320</v>
      </c>
      <c r="B175" t="s">
        <v>290</v>
      </c>
      <c r="C175" t="s">
        <v>290</v>
      </c>
      <c r="D175" t="s">
        <v>52</v>
      </c>
      <c r="E175" t="str">
        <f>"C07R2g"</f>
        <v>C07R2g</v>
      </c>
      <c r="F175" t="s">
        <v>71</v>
      </c>
      <c r="G175" t="s">
        <v>72</v>
      </c>
      <c r="H175" s="1">
        <v>65496.75</v>
      </c>
      <c r="I175" t="s">
        <v>298</v>
      </c>
      <c r="J175">
        <v>587</v>
      </c>
      <c r="K175">
        <v>61099</v>
      </c>
      <c r="L175">
        <v>20047</v>
      </c>
      <c r="M175" t="s">
        <v>292</v>
      </c>
      <c r="N175" t="s">
        <v>293</v>
      </c>
      <c r="O175" t="s">
        <v>294</v>
      </c>
      <c r="P175">
        <v>6926</v>
      </c>
      <c r="Q175">
        <v>5830</v>
      </c>
      <c r="R175" t="s">
        <v>65</v>
      </c>
    </row>
    <row r="176" spans="1:18" x14ac:dyDescent="0.2">
      <c r="A176" t="s">
        <v>321</v>
      </c>
      <c r="B176" t="s">
        <v>290</v>
      </c>
      <c r="C176" t="s">
        <v>290</v>
      </c>
      <c r="D176" t="s">
        <v>52</v>
      </c>
      <c r="E176" t="str">
        <f>"C07R3is"</f>
        <v>C07R3is</v>
      </c>
      <c r="F176" t="s">
        <v>57</v>
      </c>
      <c r="G176" t="s">
        <v>58</v>
      </c>
      <c r="H176" s="1">
        <v>26846.84</v>
      </c>
      <c r="I176" t="s">
        <v>291</v>
      </c>
      <c r="J176">
        <v>308</v>
      </c>
      <c r="K176">
        <v>61339</v>
      </c>
      <c r="L176">
        <v>22010</v>
      </c>
      <c r="M176" t="s">
        <v>292</v>
      </c>
      <c r="N176" t="s">
        <v>293</v>
      </c>
      <c r="O176" t="s">
        <v>294</v>
      </c>
      <c r="P176">
        <v>6926</v>
      </c>
      <c r="Q176">
        <v>5830</v>
      </c>
      <c r="R176" t="s">
        <v>65</v>
      </c>
    </row>
    <row r="177" spans="1:18" x14ac:dyDescent="0.2">
      <c r="A177" t="s">
        <v>322</v>
      </c>
      <c r="B177" t="s">
        <v>290</v>
      </c>
      <c r="C177" t="s">
        <v>290</v>
      </c>
      <c r="D177" t="s">
        <v>52</v>
      </c>
      <c r="E177" t="str">
        <f>"C07R3is"</f>
        <v>C07R3is</v>
      </c>
      <c r="F177" t="s">
        <v>67</v>
      </c>
      <c r="G177" t="s">
        <v>68</v>
      </c>
      <c r="H177" s="1">
        <v>7290.06</v>
      </c>
      <c r="I177" t="s">
        <v>296</v>
      </c>
      <c r="J177">
        <v>489</v>
      </c>
      <c r="K177">
        <v>61339</v>
      </c>
      <c r="L177">
        <v>22010</v>
      </c>
      <c r="M177" t="s">
        <v>292</v>
      </c>
      <c r="N177" t="s">
        <v>293</v>
      </c>
      <c r="O177" t="s">
        <v>294</v>
      </c>
      <c r="P177">
        <v>6926</v>
      </c>
      <c r="Q177">
        <v>5830</v>
      </c>
      <c r="R177" t="s">
        <v>65</v>
      </c>
    </row>
    <row r="178" spans="1:18" x14ac:dyDescent="0.2">
      <c r="A178" t="s">
        <v>323</v>
      </c>
      <c r="B178" t="s">
        <v>290</v>
      </c>
      <c r="C178" t="s">
        <v>290</v>
      </c>
      <c r="D178" t="s">
        <v>52</v>
      </c>
      <c r="E178" t="str">
        <f>"C07R4g"</f>
        <v>C07R4g</v>
      </c>
      <c r="F178" t="s">
        <v>71</v>
      </c>
      <c r="G178" t="s">
        <v>72</v>
      </c>
      <c r="H178" s="1">
        <v>36220.370000000003</v>
      </c>
      <c r="I178" t="s">
        <v>298</v>
      </c>
      <c r="J178">
        <v>463</v>
      </c>
      <c r="K178">
        <v>62715</v>
      </c>
      <c r="L178">
        <v>21306</v>
      </c>
      <c r="M178" t="s">
        <v>292</v>
      </c>
      <c r="N178" t="s">
        <v>293</v>
      </c>
      <c r="O178" t="s">
        <v>294</v>
      </c>
      <c r="P178">
        <v>6926</v>
      </c>
      <c r="Q178">
        <v>5830</v>
      </c>
      <c r="R178" t="s">
        <v>65</v>
      </c>
    </row>
    <row r="179" spans="1:18" x14ac:dyDescent="0.2">
      <c r="A179" t="s">
        <v>324</v>
      </c>
      <c r="B179" t="s">
        <v>290</v>
      </c>
      <c r="C179" t="s">
        <v>290</v>
      </c>
      <c r="D179" t="s">
        <v>52</v>
      </c>
      <c r="E179" t="str">
        <f>"C09R1is"</f>
        <v>C09R1is</v>
      </c>
      <c r="F179" t="s">
        <v>57</v>
      </c>
      <c r="G179" t="s">
        <v>58</v>
      </c>
      <c r="H179" s="1">
        <v>7453.57</v>
      </c>
      <c r="I179" t="s">
        <v>291</v>
      </c>
      <c r="J179">
        <v>87</v>
      </c>
      <c r="K179">
        <v>57180</v>
      </c>
      <c r="L179">
        <v>33650</v>
      </c>
      <c r="M179" t="s">
        <v>292</v>
      </c>
      <c r="N179" t="s">
        <v>293</v>
      </c>
      <c r="O179" t="s">
        <v>294</v>
      </c>
      <c r="P179">
        <v>6926</v>
      </c>
      <c r="Q179">
        <v>5830</v>
      </c>
      <c r="R179" t="s">
        <v>65</v>
      </c>
    </row>
    <row r="180" spans="1:18" x14ac:dyDescent="0.2">
      <c r="A180" t="s">
        <v>325</v>
      </c>
      <c r="B180" t="s">
        <v>290</v>
      </c>
      <c r="C180" t="s">
        <v>290</v>
      </c>
      <c r="D180" t="s">
        <v>52</v>
      </c>
      <c r="E180" t="str">
        <f>"C09R1is"</f>
        <v>C09R1is</v>
      </c>
      <c r="F180" t="s">
        <v>67</v>
      </c>
      <c r="G180" t="s">
        <v>68</v>
      </c>
      <c r="H180" s="1">
        <v>16176.07</v>
      </c>
      <c r="I180" t="s">
        <v>296</v>
      </c>
      <c r="J180">
        <v>1041</v>
      </c>
      <c r="K180">
        <v>57180</v>
      </c>
      <c r="L180">
        <v>33650</v>
      </c>
      <c r="M180" t="s">
        <v>292</v>
      </c>
      <c r="N180" t="s">
        <v>293</v>
      </c>
      <c r="O180" t="s">
        <v>294</v>
      </c>
      <c r="P180">
        <v>6926</v>
      </c>
      <c r="Q180">
        <v>5830</v>
      </c>
      <c r="R180" t="s">
        <v>65</v>
      </c>
    </row>
    <row r="181" spans="1:18" x14ac:dyDescent="0.2">
      <c r="A181" t="s">
        <v>326</v>
      </c>
      <c r="B181" t="s">
        <v>290</v>
      </c>
      <c r="C181" t="s">
        <v>290</v>
      </c>
      <c r="D181" t="s">
        <v>52</v>
      </c>
      <c r="E181" t="str">
        <f>"C09R2g"</f>
        <v>C09R2g</v>
      </c>
      <c r="F181" t="s">
        <v>71</v>
      </c>
      <c r="G181" t="s">
        <v>72</v>
      </c>
      <c r="H181" s="1">
        <v>90778.35</v>
      </c>
      <c r="I181" t="s">
        <v>298</v>
      </c>
      <c r="J181">
        <v>1194</v>
      </c>
      <c r="K181" t="s">
        <v>327</v>
      </c>
      <c r="L181" t="s">
        <v>328</v>
      </c>
      <c r="M181" t="s">
        <v>292</v>
      </c>
      <c r="N181" t="s">
        <v>293</v>
      </c>
      <c r="O181" t="s">
        <v>294</v>
      </c>
      <c r="P181">
        <v>6926</v>
      </c>
      <c r="Q181">
        <v>5830</v>
      </c>
      <c r="R181" t="s">
        <v>65</v>
      </c>
    </row>
    <row r="182" spans="1:18" x14ac:dyDescent="0.2">
      <c r="A182" t="s">
        <v>329</v>
      </c>
      <c r="B182" t="s">
        <v>290</v>
      </c>
      <c r="C182" t="s">
        <v>290</v>
      </c>
      <c r="D182" t="s">
        <v>52</v>
      </c>
      <c r="E182" t="str">
        <f>"C10R1is"</f>
        <v>C10R1is</v>
      </c>
      <c r="F182" t="s">
        <v>57</v>
      </c>
      <c r="G182" t="s">
        <v>58</v>
      </c>
      <c r="H182" s="1">
        <v>9517.52</v>
      </c>
      <c r="I182" t="s">
        <v>291</v>
      </c>
      <c r="J182">
        <v>86</v>
      </c>
      <c r="K182">
        <v>55704</v>
      </c>
      <c r="L182">
        <v>26595</v>
      </c>
      <c r="M182" t="s">
        <v>292</v>
      </c>
      <c r="N182" t="s">
        <v>293</v>
      </c>
      <c r="O182" t="s">
        <v>294</v>
      </c>
      <c r="P182">
        <v>6926</v>
      </c>
      <c r="Q182">
        <v>5830</v>
      </c>
      <c r="R182" t="s">
        <v>65</v>
      </c>
    </row>
    <row r="183" spans="1:18" x14ac:dyDescent="0.2">
      <c r="A183" t="s">
        <v>330</v>
      </c>
      <c r="B183" t="s">
        <v>290</v>
      </c>
      <c r="C183" t="s">
        <v>290</v>
      </c>
      <c r="D183" t="s">
        <v>52</v>
      </c>
      <c r="E183" t="str">
        <f>"C10R1is"</f>
        <v>C10R1is</v>
      </c>
      <c r="F183" t="s">
        <v>67</v>
      </c>
      <c r="G183" t="s">
        <v>68</v>
      </c>
      <c r="H183" s="1">
        <v>60866.78</v>
      </c>
      <c r="I183" t="s">
        <v>296</v>
      </c>
      <c r="J183">
        <v>3356</v>
      </c>
      <c r="K183">
        <v>55704</v>
      </c>
      <c r="L183">
        <v>26595</v>
      </c>
      <c r="M183" t="s">
        <v>292</v>
      </c>
      <c r="N183" t="s">
        <v>293</v>
      </c>
      <c r="O183" t="s">
        <v>294</v>
      </c>
      <c r="P183">
        <v>6926</v>
      </c>
      <c r="Q183">
        <v>5830</v>
      </c>
      <c r="R183" t="s">
        <v>65</v>
      </c>
    </row>
    <row r="184" spans="1:18" x14ac:dyDescent="0.2">
      <c r="A184" t="s">
        <v>331</v>
      </c>
      <c r="B184" t="s">
        <v>290</v>
      </c>
      <c r="C184" t="s">
        <v>290</v>
      </c>
      <c r="D184" t="s">
        <v>52</v>
      </c>
      <c r="E184" t="str">
        <f>"C10R2g"</f>
        <v>C10R2g</v>
      </c>
      <c r="F184" t="s">
        <v>71</v>
      </c>
      <c r="G184" t="s">
        <v>72</v>
      </c>
      <c r="H184" s="1">
        <v>73688.38</v>
      </c>
      <c r="I184" t="s">
        <v>298</v>
      </c>
      <c r="J184">
        <v>965</v>
      </c>
      <c r="K184">
        <v>54376</v>
      </c>
      <c r="L184">
        <v>27568</v>
      </c>
      <c r="M184" t="s">
        <v>292</v>
      </c>
      <c r="N184" t="s">
        <v>293</v>
      </c>
      <c r="O184" t="s">
        <v>294</v>
      </c>
      <c r="P184">
        <v>6926</v>
      </c>
      <c r="Q184">
        <v>5830</v>
      </c>
      <c r="R184" t="s">
        <v>65</v>
      </c>
    </row>
    <row r="185" spans="1:18" x14ac:dyDescent="0.2">
      <c r="A185" t="s">
        <v>332</v>
      </c>
      <c r="B185" t="s">
        <v>290</v>
      </c>
      <c r="C185" t="s">
        <v>290</v>
      </c>
      <c r="D185" t="s">
        <v>52</v>
      </c>
      <c r="E185" t="str">
        <f>"C11R1is"</f>
        <v>C11R1is</v>
      </c>
      <c r="F185" t="s">
        <v>57</v>
      </c>
      <c r="G185" t="s">
        <v>58</v>
      </c>
      <c r="H185" s="1">
        <v>30852.18</v>
      </c>
      <c r="I185" t="s">
        <v>291</v>
      </c>
      <c r="J185">
        <v>318</v>
      </c>
      <c r="K185">
        <v>55261</v>
      </c>
      <c r="L185">
        <v>21905</v>
      </c>
      <c r="M185" t="s">
        <v>292</v>
      </c>
      <c r="N185" t="s">
        <v>293</v>
      </c>
      <c r="O185" t="s">
        <v>294</v>
      </c>
      <c r="P185">
        <v>6926</v>
      </c>
      <c r="Q185">
        <v>5830</v>
      </c>
      <c r="R185" t="s">
        <v>65</v>
      </c>
    </row>
    <row r="186" spans="1:18" x14ac:dyDescent="0.2">
      <c r="A186" t="s">
        <v>333</v>
      </c>
      <c r="B186" t="s">
        <v>290</v>
      </c>
      <c r="C186" t="s">
        <v>290</v>
      </c>
      <c r="D186" t="s">
        <v>52</v>
      </c>
      <c r="E186" t="str">
        <f>"C11R1is"</f>
        <v>C11R1is</v>
      </c>
      <c r="F186" t="s">
        <v>67</v>
      </c>
      <c r="G186" t="s">
        <v>68</v>
      </c>
      <c r="H186" s="1">
        <v>40897.050000000003</v>
      </c>
      <c r="I186" t="s">
        <v>296</v>
      </c>
      <c r="J186">
        <v>1814</v>
      </c>
      <c r="K186">
        <v>55261</v>
      </c>
      <c r="L186">
        <v>21905</v>
      </c>
      <c r="M186" t="s">
        <v>292</v>
      </c>
      <c r="N186" t="s">
        <v>293</v>
      </c>
      <c r="O186" t="s">
        <v>294</v>
      </c>
      <c r="P186">
        <v>6926</v>
      </c>
      <c r="Q186">
        <v>5830</v>
      </c>
      <c r="R186" t="s">
        <v>65</v>
      </c>
    </row>
    <row r="187" spans="1:18" x14ac:dyDescent="0.2">
      <c r="A187" t="s">
        <v>334</v>
      </c>
      <c r="B187" t="s">
        <v>290</v>
      </c>
      <c r="C187" t="s">
        <v>290</v>
      </c>
      <c r="D187" t="s">
        <v>52</v>
      </c>
      <c r="E187" t="str">
        <f>"C11R2is"</f>
        <v>C11R2is</v>
      </c>
      <c r="F187" t="s">
        <v>57</v>
      </c>
      <c r="G187" t="s">
        <v>58</v>
      </c>
      <c r="H187" s="1">
        <v>12427.69</v>
      </c>
      <c r="I187" t="s">
        <v>291</v>
      </c>
      <c r="J187">
        <v>132</v>
      </c>
      <c r="K187">
        <v>56247</v>
      </c>
      <c r="L187">
        <v>18246</v>
      </c>
      <c r="M187" t="s">
        <v>292</v>
      </c>
      <c r="N187" t="s">
        <v>293</v>
      </c>
      <c r="O187" t="s">
        <v>294</v>
      </c>
      <c r="P187">
        <v>6926</v>
      </c>
      <c r="Q187">
        <v>5830</v>
      </c>
      <c r="R187" t="s">
        <v>65</v>
      </c>
    </row>
    <row r="188" spans="1:18" x14ac:dyDescent="0.2">
      <c r="A188" t="s">
        <v>335</v>
      </c>
      <c r="B188" t="s">
        <v>290</v>
      </c>
      <c r="C188" t="s">
        <v>290</v>
      </c>
      <c r="D188" t="s">
        <v>52</v>
      </c>
      <c r="E188" t="str">
        <f>"C11R2is"</f>
        <v>C11R2is</v>
      </c>
      <c r="F188" t="s">
        <v>67</v>
      </c>
      <c r="G188" t="s">
        <v>68</v>
      </c>
      <c r="H188" s="1">
        <v>4625.4799999999996</v>
      </c>
      <c r="I188" t="s">
        <v>296</v>
      </c>
      <c r="J188">
        <v>245</v>
      </c>
      <c r="K188">
        <v>56247</v>
      </c>
      <c r="L188">
        <v>18246</v>
      </c>
      <c r="M188" t="s">
        <v>292</v>
      </c>
      <c r="N188" t="s">
        <v>293</v>
      </c>
      <c r="O188" t="s">
        <v>294</v>
      </c>
      <c r="P188">
        <v>6926</v>
      </c>
      <c r="Q188">
        <v>5830</v>
      </c>
      <c r="R188" t="s">
        <v>65</v>
      </c>
    </row>
    <row r="189" spans="1:18" x14ac:dyDescent="0.2">
      <c r="A189" t="s">
        <v>336</v>
      </c>
      <c r="B189" t="s">
        <v>290</v>
      </c>
      <c r="C189" t="s">
        <v>290</v>
      </c>
      <c r="D189" t="s">
        <v>52</v>
      </c>
      <c r="E189" t="str">
        <f>"C11R3g"</f>
        <v>C11R3g</v>
      </c>
      <c r="F189" t="s">
        <v>71</v>
      </c>
      <c r="G189" t="s">
        <v>72</v>
      </c>
      <c r="H189" s="1">
        <v>55235.73</v>
      </c>
      <c r="I189" t="s">
        <v>298</v>
      </c>
      <c r="J189">
        <v>752</v>
      </c>
      <c r="K189">
        <v>55663</v>
      </c>
      <c r="L189">
        <v>19637</v>
      </c>
      <c r="M189" t="s">
        <v>292</v>
      </c>
      <c r="N189" t="s">
        <v>293</v>
      </c>
      <c r="O189" t="s">
        <v>294</v>
      </c>
      <c r="P189">
        <v>6926</v>
      </c>
      <c r="Q189">
        <v>5830</v>
      </c>
      <c r="R189" t="s">
        <v>65</v>
      </c>
    </row>
    <row r="190" spans="1:18" x14ac:dyDescent="0.2">
      <c r="A190" t="s">
        <v>337</v>
      </c>
      <c r="B190" t="s">
        <v>290</v>
      </c>
      <c r="C190" t="s">
        <v>290</v>
      </c>
      <c r="D190" t="s">
        <v>52</v>
      </c>
      <c r="E190" t="str">
        <f>"C13R1is"</f>
        <v>C13R1is</v>
      </c>
      <c r="F190" t="s">
        <v>57</v>
      </c>
      <c r="G190" t="s">
        <v>58</v>
      </c>
      <c r="H190" s="1">
        <v>47304.57</v>
      </c>
      <c r="I190" t="s">
        <v>291</v>
      </c>
      <c r="J190">
        <v>590</v>
      </c>
      <c r="K190" t="s">
        <v>338</v>
      </c>
      <c r="L190" t="s">
        <v>339</v>
      </c>
      <c r="M190" t="s">
        <v>292</v>
      </c>
      <c r="N190" t="s">
        <v>293</v>
      </c>
      <c r="O190" t="s">
        <v>294</v>
      </c>
      <c r="P190">
        <v>6926</v>
      </c>
      <c r="Q190">
        <v>5830</v>
      </c>
      <c r="R190" t="s">
        <v>65</v>
      </c>
    </row>
    <row r="191" spans="1:18" x14ac:dyDescent="0.2">
      <c r="A191" t="s">
        <v>340</v>
      </c>
      <c r="B191" t="s">
        <v>290</v>
      </c>
      <c r="C191" t="s">
        <v>290</v>
      </c>
      <c r="D191" t="s">
        <v>52</v>
      </c>
      <c r="E191" t="str">
        <f>"C13R1is"</f>
        <v>C13R1is</v>
      </c>
      <c r="F191" t="s">
        <v>67</v>
      </c>
      <c r="G191" t="s">
        <v>68</v>
      </c>
      <c r="H191" s="1">
        <v>24976.33</v>
      </c>
      <c r="I191" t="s">
        <v>296</v>
      </c>
      <c r="J191">
        <v>2233</v>
      </c>
      <c r="K191" t="s">
        <v>338</v>
      </c>
      <c r="L191" t="s">
        <v>339</v>
      </c>
      <c r="M191" t="s">
        <v>292</v>
      </c>
      <c r="N191" t="s">
        <v>293</v>
      </c>
      <c r="O191" t="s">
        <v>294</v>
      </c>
      <c r="P191">
        <v>6926</v>
      </c>
      <c r="Q191">
        <v>5830</v>
      </c>
      <c r="R191" t="s">
        <v>65</v>
      </c>
    </row>
    <row r="192" spans="1:18" x14ac:dyDescent="0.2">
      <c r="A192" t="s">
        <v>341</v>
      </c>
      <c r="B192" t="s">
        <v>290</v>
      </c>
      <c r="C192" t="s">
        <v>290</v>
      </c>
      <c r="D192" t="s">
        <v>52</v>
      </c>
      <c r="E192" t="str">
        <f>"C13R2g"</f>
        <v>C13R2g</v>
      </c>
      <c r="F192" t="s">
        <v>71</v>
      </c>
      <c r="G192" t="s">
        <v>72</v>
      </c>
      <c r="H192" s="1">
        <v>157043.24</v>
      </c>
      <c r="I192" t="s">
        <v>298</v>
      </c>
      <c r="J192">
        <v>2920</v>
      </c>
      <c r="K192">
        <v>49667</v>
      </c>
      <c r="L192">
        <v>36656</v>
      </c>
      <c r="M192" t="s">
        <v>292</v>
      </c>
      <c r="N192" t="s">
        <v>293</v>
      </c>
      <c r="O192" t="s">
        <v>294</v>
      </c>
      <c r="P192">
        <v>6926</v>
      </c>
      <c r="Q192">
        <v>5830</v>
      </c>
      <c r="R192" t="s">
        <v>65</v>
      </c>
    </row>
    <row r="193" spans="1:18" x14ac:dyDescent="0.2">
      <c r="A193" t="s">
        <v>342</v>
      </c>
      <c r="B193" t="s">
        <v>290</v>
      </c>
      <c r="C193" t="s">
        <v>290</v>
      </c>
      <c r="D193" t="s">
        <v>52</v>
      </c>
      <c r="E193" t="str">
        <f>"C14R1is"</f>
        <v>C14R1is</v>
      </c>
      <c r="F193" t="s">
        <v>57</v>
      </c>
      <c r="G193" t="s">
        <v>58</v>
      </c>
      <c r="H193" s="1">
        <v>36517.64</v>
      </c>
      <c r="I193" t="s">
        <v>291</v>
      </c>
      <c r="J193">
        <v>386</v>
      </c>
      <c r="K193">
        <v>49655</v>
      </c>
      <c r="L193">
        <v>27849</v>
      </c>
      <c r="M193" t="s">
        <v>292</v>
      </c>
      <c r="N193" t="s">
        <v>293</v>
      </c>
      <c r="O193" t="s">
        <v>294</v>
      </c>
      <c r="P193">
        <v>6926</v>
      </c>
      <c r="Q193">
        <v>5830</v>
      </c>
      <c r="R193" t="s">
        <v>65</v>
      </c>
    </row>
    <row r="194" spans="1:18" x14ac:dyDescent="0.2">
      <c r="A194" t="s">
        <v>343</v>
      </c>
      <c r="B194" t="s">
        <v>290</v>
      </c>
      <c r="C194" t="s">
        <v>290</v>
      </c>
      <c r="D194" t="s">
        <v>52</v>
      </c>
      <c r="E194" t="str">
        <f>"C14R1is"</f>
        <v>C14R1is</v>
      </c>
      <c r="F194" t="s">
        <v>67</v>
      </c>
      <c r="G194" t="s">
        <v>68</v>
      </c>
      <c r="H194" s="1">
        <v>25876.63</v>
      </c>
      <c r="I194" t="s">
        <v>296</v>
      </c>
      <c r="J194">
        <v>2196</v>
      </c>
      <c r="K194">
        <v>49655</v>
      </c>
      <c r="L194">
        <v>27849</v>
      </c>
      <c r="M194" t="s">
        <v>292</v>
      </c>
      <c r="N194" t="s">
        <v>293</v>
      </c>
      <c r="O194" t="s">
        <v>294</v>
      </c>
      <c r="P194">
        <v>6926</v>
      </c>
      <c r="Q194">
        <v>5830</v>
      </c>
      <c r="R194" t="s">
        <v>65</v>
      </c>
    </row>
    <row r="195" spans="1:18" x14ac:dyDescent="0.2">
      <c r="A195" t="s">
        <v>344</v>
      </c>
      <c r="B195" t="s">
        <v>290</v>
      </c>
      <c r="C195" t="s">
        <v>290</v>
      </c>
      <c r="D195" t="s">
        <v>52</v>
      </c>
      <c r="E195" t="str">
        <f>"C14R2g"</f>
        <v>C14R2g</v>
      </c>
      <c r="F195" t="s">
        <v>71</v>
      </c>
      <c r="G195" t="s">
        <v>72</v>
      </c>
      <c r="H195" s="1">
        <v>114351.67999999999</v>
      </c>
      <c r="I195" t="s">
        <v>298</v>
      </c>
      <c r="J195">
        <v>1973</v>
      </c>
      <c r="K195">
        <v>50122</v>
      </c>
      <c r="L195">
        <v>26148</v>
      </c>
      <c r="M195" t="s">
        <v>292</v>
      </c>
      <c r="N195" t="s">
        <v>293</v>
      </c>
      <c r="O195" t="s">
        <v>294</v>
      </c>
      <c r="P195">
        <v>6926</v>
      </c>
      <c r="Q195">
        <v>5830</v>
      </c>
      <c r="R195" t="s">
        <v>65</v>
      </c>
    </row>
    <row r="196" spans="1:18" x14ac:dyDescent="0.2">
      <c r="A196" t="s">
        <v>345</v>
      </c>
      <c r="B196" t="s">
        <v>290</v>
      </c>
      <c r="C196" t="s">
        <v>290</v>
      </c>
      <c r="D196" t="s">
        <v>52</v>
      </c>
      <c r="E196" t="str">
        <f>"C15R1is"</f>
        <v>C15R1is</v>
      </c>
      <c r="F196" t="s">
        <v>57</v>
      </c>
      <c r="G196" t="s">
        <v>58</v>
      </c>
      <c r="H196" s="1">
        <v>18905.28</v>
      </c>
      <c r="I196" t="s">
        <v>291</v>
      </c>
      <c r="J196">
        <v>208</v>
      </c>
      <c r="K196">
        <v>48557</v>
      </c>
      <c r="L196">
        <v>19166</v>
      </c>
      <c r="M196" t="s">
        <v>292</v>
      </c>
      <c r="N196" t="s">
        <v>293</v>
      </c>
      <c r="O196" t="s">
        <v>294</v>
      </c>
      <c r="P196">
        <v>6926</v>
      </c>
      <c r="Q196">
        <v>5830</v>
      </c>
      <c r="R196" t="s">
        <v>65</v>
      </c>
    </row>
    <row r="197" spans="1:18" x14ac:dyDescent="0.2">
      <c r="A197" t="s">
        <v>346</v>
      </c>
      <c r="B197" t="s">
        <v>290</v>
      </c>
      <c r="C197" t="s">
        <v>290</v>
      </c>
      <c r="D197" t="s">
        <v>52</v>
      </c>
      <c r="E197" t="str">
        <f>"C15R1is"</f>
        <v>C15R1is</v>
      </c>
      <c r="F197" t="s">
        <v>67</v>
      </c>
      <c r="G197" t="s">
        <v>68</v>
      </c>
      <c r="H197" s="1">
        <v>16511.580000000002</v>
      </c>
      <c r="I197" t="s">
        <v>296</v>
      </c>
      <c r="J197">
        <v>1301</v>
      </c>
      <c r="K197">
        <v>48557</v>
      </c>
      <c r="L197">
        <v>19166</v>
      </c>
      <c r="M197" t="s">
        <v>292</v>
      </c>
      <c r="N197" t="s">
        <v>293</v>
      </c>
      <c r="O197" t="s">
        <v>294</v>
      </c>
      <c r="P197">
        <v>6926</v>
      </c>
      <c r="Q197">
        <v>5830</v>
      </c>
      <c r="R197" t="s">
        <v>65</v>
      </c>
    </row>
    <row r="198" spans="1:18" x14ac:dyDescent="0.2">
      <c r="A198" t="s">
        <v>347</v>
      </c>
      <c r="B198" t="s">
        <v>290</v>
      </c>
      <c r="C198" t="s">
        <v>290</v>
      </c>
      <c r="D198" t="s">
        <v>52</v>
      </c>
      <c r="E198" t="str">
        <f>"C15R2is"</f>
        <v>C15R2is</v>
      </c>
      <c r="F198" t="s">
        <v>57</v>
      </c>
      <c r="G198" t="s">
        <v>58</v>
      </c>
      <c r="H198" s="1">
        <v>14216.6</v>
      </c>
      <c r="I198" t="s">
        <v>291</v>
      </c>
      <c r="J198">
        <v>149</v>
      </c>
      <c r="K198">
        <v>47726</v>
      </c>
      <c r="L198">
        <v>17891</v>
      </c>
      <c r="M198" t="s">
        <v>292</v>
      </c>
      <c r="N198" t="s">
        <v>293</v>
      </c>
      <c r="O198" t="s">
        <v>294</v>
      </c>
      <c r="P198">
        <v>6926</v>
      </c>
      <c r="Q198">
        <v>5830</v>
      </c>
      <c r="R198" t="s">
        <v>65</v>
      </c>
    </row>
    <row r="199" spans="1:18" x14ac:dyDescent="0.2">
      <c r="A199" t="s">
        <v>348</v>
      </c>
      <c r="B199" t="s">
        <v>290</v>
      </c>
      <c r="C199" t="s">
        <v>290</v>
      </c>
      <c r="D199" t="s">
        <v>52</v>
      </c>
      <c r="E199" t="str">
        <f>"C15R2is"</f>
        <v>C15R2is</v>
      </c>
      <c r="F199" t="s">
        <v>67</v>
      </c>
      <c r="G199" t="s">
        <v>68</v>
      </c>
      <c r="H199" s="1">
        <v>20928.75</v>
      </c>
      <c r="I199" t="s">
        <v>296</v>
      </c>
      <c r="J199">
        <v>1425</v>
      </c>
      <c r="K199">
        <v>47726</v>
      </c>
      <c r="L199">
        <v>17891</v>
      </c>
      <c r="M199" t="s">
        <v>292</v>
      </c>
      <c r="N199" t="s">
        <v>293</v>
      </c>
      <c r="O199" t="s">
        <v>294</v>
      </c>
      <c r="P199">
        <v>6926</v>
      </c>
      <c r="Q199">
        <v>5830</v>
      </c>
      <c r="R199" t="s">
        <v>65</v>
      </c>
    </row>
    <row r="200" spans="1:18" x14ac:dyDescent="0.2">
      <c r="A200" t="s">
        <v>349</v>
      </c>
      <c r="B200" t="s">
        <v>290</v>
      </c>
      <c r="C200" t="s">
        <v>290</v>
      </c>
      <c r="D200" t="s">
        <v>52</v>
      </c>
      <c r="E200" t="str">
        <f>"C15R3g"</f>
        <v>C15R3g</v>
      </c>
      <c r="F200" t="s">
        <v>71</v>
      </c>
      <c r="G200" t="s">
        <v>72</v>
      </c>
      <c r="H200" s="1">
        <v>167230.18</v>
      </c>
      <c r="I200" t="s">
        <v>298</v>
      </c>
      <c r="J200">
        <v>1855</v>
      </c>
      <c r="K200">
        <v>49890</v>
      </c>
      <c r="L200">
        <v>18647</v>
      </c>
      <c r="M200" t="s">
        <v>292</v>
      </c>
      <c r="N200" t="s">
        <v>293</v>
      </c>
      <c r="O200" t="s">
        <v>294</v>
      </c>
      <c r="P200">
        <v>6926</v>
      </c>
      <c r="Q200">
        <v>5830</v>
      </c>
      <c r="R200" t="s">
        <v>65</v>
      </c>
    </row>
    <row r="201" spans="1:18" x14ac:dyDescent="0.2">
      <c r="A201" t="s">
        <v>350</v>
      </c>
      <c r="B201" t="s">
        <v>290</v>
      </c>
      <c r="C201" t="s">
        <v>290</v>
      </c>
      <c r="D201" t="s">
        <v>52</v>
      </c>
      <c r="E201" t="str">
        <f>"C15R4g"</f>
        <v>C15R4g</v>
      </c>
      <c r="F201" t="s">
        <v>71</v>
      </c>
      <c r="G201" t="s">
        <v>72</v>
      </c>
      <c r="H201" s="1">
        <v>144877.79</v>
      </c>
      <c r="I201" t="s">
        <v>298</v>
      </c>
      <c r="J201">
        <v>1844</v>
      </c>
      <c r="K201">
        <v>51048</v>
      </c>
      <c r="L201">
        <v>18947</v>
      </c>
      <c r="M201" t="s">
        <v>292</v>
      </c>
      <c r="N201" t="s">
        <v>293</v>
      </c>
      <c r="O201" t="s">
        <v>294</v>
      </c>
      <c r="P201">
        <v>6926</v>
      </c>
      <c r="Q201">
        <v>5830</v>
      </c>
      <c r="R201" t="s">
        <v>65</v>
      </c>
    </row>
    <row r="202" spans="1:18" x14ac:dyDescent="0.2">
      <c r="A202" t="s">
        <v>351</v>
      </c>
      <c r="B202" t="s">
        <v>290</v>
      </c>
      <c r="C202" t="s">
        <v>290</v>
      </c>
      <c r="D202" t="s">
        <v>52</v>
      </c>
      <c r="E202" t="str">
        <f>"C17R1is"</f>
        <v>C17R1is</v>
      </c>
      <c r="F202" t="s">
        <v>57</v>
      </c>
      <c r="G202" t="s">
        <v>58</v>
      </c>
      <c r="H202" s="1">
        <v>27546.99</v>
      </c>
      <c r="I202" t="s">
        <v>291</v>
      </c>
      <c r="J202">
        <v>231</v>
      </c>
      <c r="K202">
        <v>42627</v>
      </c>
      <c r="L202">
        <v>34329</v>
      </c>
      <c r="M202" t="s">
        <v>292</v>
      </c>
      <c r="N202" t="s">
        <v>293</v>
      </c>
      <c r="O202" t="s">
        <v>294</v>
      </c>
      <c r="P202">
        <v>6926</v>
      </c>
      <c r="Q202">
        <v>5830</v>
      </c>
      <c r="R202" t="s">
        <v>65</v>
      </c>
    </row>
    <row r="203" spans="1:18" x14ac:dyDescent="0.2">
      <c r="A203" t="s">
        <v>352</v>
      </c>
      <c r="B203" t="s">
        <v>290</v>
      </c>
      <c r="C203" t="s">
        <v>290</v>
      </c>
      <c r="D203" t="s">
        <v>52</v>
      </c>
      <c r="E203" t="str">
        <f>"C17R1is"</f>
        <v>C17R1is</v>
      </c>
      <c r="F203" t="s">
        <v>67</v>
      </c>
      <c r="G203" t="s">
        <v>68</v>
      </c>
      <c r="H203" s="1">
        <v>12097.29</v>
      </c>
      <c r="I203" t="s">
        <v>296</v>
      </c>
      <c r="J203">
        <v>415</v>
      </c>
      <c r="K203">
        <v>42627</v>
      </c>
      <c r="L203">
        <v>34329</v>
      </c>
      <c r="M203" t="s">
        <v>292</v>
      </c>
      <c r="N203" t="s">
        <v>293</v>
      </c>
      <c r="O203" t="s">
        <v>294</v>
      </c>
      <c r="P203">
        <v>6926</v>
      </c>
      <c r="Q203">
        <v>5830</v>
      </c>
      <c r="R203" t="s">
        <v>65</v>
      </c>
    </row>
    <row r="204" spans="1:18" x14ac:dyDescent="0.2">
      <c r="A204" t="s">
        <v>353</v>
      </c>
      <c r="B204" t="s">
        <v>290</v>
      </c>
      <c r="C204" t="s">
        <v>290</v>
      </c>
      <c r="D204" t="s">
        <v>52</v>
      </c>
      <c r="E204" t="str">
        <f>"C17R2g"</f>
        <v>C17R2g</v>
      </c>
      <c r="F204" t="s">
        <v>71</v>
      </c>
      <c r="G204" t="s">
        <v>72</v>
      </c>
      <c r="H204" s="1">
        <v>146121.43</v>
      </c>
      <c r="I204" t="s">
        <v>298</v>
      </c>
      <c r="J204">
        <v>748</v>
      </c>
      <c r="K204">
        <v>42939</v>
      </c>
      <c r="L204">
        <v>36052</v>
      </c>
      <c r="M204" t="s">
        <v>292</v>
      </c>
      <c r="N204" t="s">
        <v>293</v>
      </c>
      <c r="O204" t="s">
        <v>294</v>
      </c>
      <c r="P204">
        <v>6926</v>
      </c>
      <c r="Q204">
        <v>5830</v>
      </c>
      <c r="R204" t="s">
        <v>65</v>
      </c>
    </row>
    <row r="205" spans="1:18" x14ac:dyDescent="0.2">
      <c r="A205" t="s">
        <v>354</v>
      </c>
      <c r="B205" t="s">
        <v>290</v>
      </c>
      <c r="C205" t="s">
        <v>290</v>
      </c>
      <c r="D205" t="s">
        <v>52</v>
      </c>
      <c r="E205" t="str">
        <f>"C18R1is"</f>
        <v>C18R1is</v>
      </c>
      <c r="F205" t="s">
        <v>57</v>
      </c>
      <c r="G205" t="s">
        <v>58</v>
      </c>
      <c r="H205" s="1">
        <v>28321.85</v>
      </c>
      <c r="I205" t="s">
        <v>291</v>
      </c>
      <c r="J205">
        <v>299</v>
      </c>
      <c r="K205">
        <v>42214</v>
      </c>
      <c r="L205">
        <v>28032</v>
      </c>
      <c r="M205" t="s">
        <v>292</v>
      </c>
      <c r="N205" t="s">
        <v>293</v>
      </c>
      <c r="O205" t="s">
        <v>294</v>
      </c>
      <c r="P205">
        <v>6926</v>
      </c>
      <c r="Q205">
        <v>5830</v>
      </c>
      <c r="R205" t="s">
        <v>65</v>
      </c>
    </row>
    <row r="206" spans="1:18" x14ac:dyDescent="0.2">
      <c r="A206" t="s">
        <v>355</v>
      </c>
      <c r="B206" t="s">
        <v>290</v>
      </c>
      <c r="C206" t="s">
        <v>290</v>
      </c>
      <c r="D206" t="s">
        <v>52</v>
      </c>
      <c r="E206" t="str">
        <f>"C18R1is"</f>
        <v>C18R1is</v>
      </c>
      <c r="F206" t="s">
        <v>67</v>
      </c>
      <c r="G206" t="s">
        <v>68</v>
      </c>
      <c r="H206" s="1">
        <v>17055.57</v>
      </c>
      <c r="I206" t="s">
        <v>296</v>
      </c>
      <c r="J206">
        <v>550</v>
      </c>
      <c r="K206">
        <v>42214</v>
      </c>
      <c r="L206">
        <v>28032</v>
      </c>
      <c r="M206" t="s">
        <v>292</v>
      </c>
      <c r="N206" t="s">
        <v>293</v>
      </c>
      <c r="O206" t="s">
        <v>294</v>
      </c>
      <c r="P206">
        <v>6926</v>
      </c>
      <c r="Q206">
        <v>5830</v>
      </c>
      <c r="R206" t="s">
        <v>65</v>
      </c>
    </row>
    <row r="207" spans="1:18" x14ac:dyDescent="0.2">
      <c r="A207" t="s">
        <v>356</v>
      </c>
      <c r="B207" t="s">
        <v>290</v>
      </c>
      <c r="C207" t="s">
        <v>290</v>
      </c>
      <c r="D207" t="s">
        <v>52</v>
      </c>
      <c r="E207" t="str">
        <f>"C18R2g"</f>
        <v>C18R2g</v>
      </c>
      <c r="F207" t="s">
        <v>71</v>
      </c>
      <c r="G207" t="s">
        <v>72</v>
      </c>
      <c r="H207" s="1">
        <v>221853.28</v>
      </c>
      <c r="I207" t="s">
        <v>298</v>
      </c>
      <c r="J207">
        <v>985</v>
      </c>
      <c r="K207">
        <v>43705</v>
      </c>
      <c r="L207">
        <v>26976</v>
      </c>
      <c r="M207" t="s">
        <v>292</v>
      </c>
      <c r="N207" t="s">
        <v>293</v>
      </c>
      <c r="O207" t="s">
        <v>294</v>
      </c>
      <c r="P207">
        <v>6926</v>
      </c>
      <c r="Q207">
        <v>5830</v>
      </c>
      <c r="R207" t="s">
        <v>65</v>
      </c>
    </row>
    <row r="208" spans="1:18" x14ac:dyDescent="0.2">
      <c r="A208" t="s">
        <v>357</v>
      </c>
      <c r="B208" t="s">
        <v>290</v>
      </c>
      <c r="C208" t="s">
        <v>290</v>
      </c>
      <c r="D208" t="s">
        <v>52</v>
      </c>
      <c r="E208" t="str">
        <f>"C19R1is"</f>
        <v>C19R1is</v>
      </c>
      <c r="F208" t="s">
        <v>57</v>
      </c>
      <c r="G208" t="s">
        <v>58</v>
      </c>
      <c r="H208" s="1">
        <v>29007.91</v>
      </c>
      <c r="I208" t="s">
        <v>291</v>
      </c>
      <c r="J208">
        <v>250</v>
      </c>
      <c r="K208">
        <v>42121</v>
      </c>
      <c r="L208">
        <v>22789</v>
      </c>
      <c r="M208" t="s">
        <v>292</v>
      </c>
      <c r="N208" t="s">
        <v>293</v>
      </c>
      <c r="O208" t="s">
        <v>294</v>
      </c>
      <c r="P208">
        <v>6926</v>
      </c>
      <c r="Q208">
        <v>5830</v>
      </c>
      <c r="R208" t="s">
        <v>65</v>
      </c>
    </row>
    <row r="209" spans="1:18" x14ac:dyDescent="0.2">
      <c r="A209" t="s">
        <v>358</v>
      </c>
      <c r="B209" t="s">
        <v>290</v>
      </c>
      <c r="C209" t="s">
        <v>290</v>
      </c>
      <c r="D209" t="s">
        <v>52</v>
      </c>
      <c r="E209" t="str">
        <f>"C19R1is"</f>
        <v>C19R1is</v>
      </c>
      <c r="F209" t="s">
        <v>67</v>
      </c>
      <c r="G209" t="s">
        <v>68</v>
      </c>
      <c r="H209" s="1">
        <v>3539.91</v>
      </c>
      <c r="I209" t="s">
        <v>296</v>
      </c>
      <c r="J209">
        <v>141</v>
      </c>
      <c r="K209">
        <v>42121</v>
      </c>
      <c r="L209">
        <v>22789</v>
      </c>
      <c r="M209" t="s">
        <v>292</v>
      </c>
      <c r="N209" t="s">
        <v>293</v>
      </c>
      <c r="O209" t="s">
        <v>294</v>
      </c>
      <c r="P209">
        <v>6926</v>
      </c>
      <c r="Q209">
        <v>5830</v>
      </c>
      <c r="R209" t="s">
        <v>65</v>
      </c>
    </row>
    <row r="210" spans="1:18" x14ac:dyDescent="0.2">
      <c r="A210" t="s">
        <v>359</v>
      </c>
      <c r="B210" t="s">
        <v>290</v>
      </c>
      <c r="C210" t="s">
        <v>290</v>
      </c>
      <c r="D210" t="s">
        <v>52</v>
      </c>
      <c r="E210" t="str">
        <f>"C19R2g"</f>
        <v>C19R2g</v>
      </c>
      <c r="F210" t="s">
        <v>71</v>
      </c>
      <c r="G210" t="s">
        <v>72</v>
      </c>
      <c r="H210" s="1">
        <v>169785.16</v>
      </c>
      <c r="I210" t="s">
        <v>298</v>
      </c>
      <c r="J210">
        <v>1420</v>
      </c>
      <c r="K210">
        <v>44562</v>
      </c>
      <c r="L210">
        <v>20976</v>
      </c>
      <c r="M210" t="s">
        <v>292</v>
      </c>
      <c r="N210" t="s">
        <v>293</v>
      </c>
      <c r="O210" t="s">
        <v>294</v>
      </c>
      <c r="P210">
        <v>6926</v>
      </c>
      <c r="Q210">
        <v>5830</v>
      </c>
      <c r="R210" t="s">
        <v>65</v>
      </c>
    </row>
    <row r="211" spans="1:18" x14ac:dyDescent="0.2">
      <c r="A211" t="s">
        <v>360</v>
      </c>
      <c r="B211" t="s">
        <v>290</v>
      </c>
      <c r="C211" t="s">
        <v>290</v>
      </c>
      <c r="D211" t="s">
        <v>52</v>
      </c>
      <c r="E211" t="str">
        <f>"C21R1is"</f>
        <v>C21R1is</v>
      </c>
      <c r="F211" t="s">
        <v>57</v>
      </c>
      <c r="G211" t="s">
        <v>58</v>
      </c>
      <c r="H211" s="1">
        <v>16891.73</v>
      </c>
      <c r="I211" t="s">
        <v>291</v>
      </c>
      <c r="J211">
        <v>225</v>
      </c>
      <c r="K211">
        <v>36103</v>
      </c>
      <c r="L211">
        <v>36029</v>
      </c>
      <c r="M211" t="s">
        <v>292</v>
      </c>
      <c r="N211" t="s">
        <v>293</v>
      </c>
      <c r="O211" t="s">
        <v>294</v>
      </c>
      <c r="P211">
        <v>6926</v>
      </c>
      <c r="Q211">
        <v>5830</v>
      </c>
      <c r="R211" t="s">
        <v>65</v>
      </c>
    </row>
    <row r="212" spans="1:18" x14ac:dyDescent="0.2">
      <c r="A212" t="s">
        <v>361</v>
      </c>
      <c r="B212" t="s">
        <v>290</v>
      </c>
      <c r="C212" t="s">
        <v>290</v>
      </c>
      <c r="D212" t="s">
        <v>52</v>
      </c>
      <c r="E212" t="str">
        <f>"C21R1is"</f>
        <v>C21R1is</v>
      </c>
      <c r="F212" t="s">
        <v>67</v>
      </c>
      <c r="G212" t="s">
        <v>68</v>
      </c>
      <c r="H212" s="1">
        <v>53832.08</v>
      </c>
      <c r="I212" t="s">
        <v>296</v>
      </c>
      <c r="J212">
        <v>2962</v>
      </c>
      <c r="K212">
        <v>36103</v>
      </c>
      <c r="L212">
        <v>36029</v>
      </c>
      <c r="M212" t="s">
        <v>292</v>
      </c>
      <c r="N212" t="s">
        <v>293</v>
      </c>
      <c r="O212" t="s">
        <v>294</v>
      </c>
      <c r="P212">
        <v>6926</v>
      </c>
      <c r="Q212">
        <v>5830</v>
      </c>
      <c r="R212" t="s">
        <v>65</v>
      </c>
    </row>
    <row r="213" spans="1:18" x14ac:dyDescent="0.2">
      <c r="A213" t="s">
        <v>362</v>
      </c>
      <c r="B213" t="s">
        <v>290</v>
      </c>
      <c r="C213" t="s">
        <v>290</v>
      </c>
      <c r="D213" t="s">
        <v>52</v>
      </c>
      <c r="E213" t="str">
        <f>"C21R2ig"</f>
        <v>C21R2ig</v>
      </c>
      <c r="F213" t="s">
        <v>57</v>
      </c>
      <c r="G213" t="s">
        <v>58</v>
      </c>
      <c r="H213" s="1">
        <v>18020.509999999998</v>
      </c>
      <c r="I213" t="s">
        <v>363</v>
      </c>
      <c r="J213">
        <v>248</v>
      </c>
      <c r="K213">
        <v>37856</v>
      </c>
      <c r="L213">
        <v>38707</v>
      </c>
      <c r="M213" t="s">
        <v>292</v>
      </c>
      <c r="N213" t="s">
        <v>293</v>
      </c>
      <c r="O213" t="s">
        <v>294</v>
      </c>
      <c r="P213">
        <v>6926</v>
      </c>
      <c r="Q213">
        <v>5830</v>
      </c>
      <c r="R213" t="s">
        <v>65</v>
      </c>
    </row>
    <row r="214" spans="1:18" x14ac:dyDescent="0.2">
      <c r="A214" t="s">
        <v>364</v>
      </c>
      <c r="B214" t="s">
        <v>290</v>
      </c>
      <c r="C214" t="s">
        <v>290</v>
      </c>
      <c r="D214" t="s">
        <v>52</v>
      </c>
      <c r="E214" t="str">
        <f>"C21R2ig"</f>
        <v>C21R2ig</v>
      </c>
      <c r="F214" t="s">
        <v>71</v>
      </c>
      <c r="G214" t="s">
        <v>72</v>
      </c>
      <c r="H214" s="1">
        <v>196079.21</v>
      </c>
      <c r="I214" t="s">
        <v>298</v>
      </c>
      <c r="J214">
        <v>2179</v>
      </c>
      <c r="K214">
        <v>37856</v>
      </c>
      <c r="L214">
        <v>38707</v>
      </c>
      <c r="M214" t="s">
        <v>292</v>
      </c>
      <c r="N214" t="s">
        <v>293</v>
      </c>
      <c r="O214" t="s">
        <v>294</v>
      </c>
      <c r="P214">
        <v>6926</v>
      </c>
      <c r="Q214">
        <v>5830</v>
      </c>
      <c r="R214" t="s">
        <v>65</v>
      </c>
    </row>
    <row r="215" spans="1:18" x14ac:dyDescent="0.2">
      <c r="A215" t="s">
        <v>365</v>
      </c>
      <c r="B215" t="s">
        <v>290</v>
      </c>
      <c r="C215" t="s">
        <v>290</v>
      </c>
      <c r="D215" t="s">
        <v>52</v>
      </c>
      <c r="E215" t="str">
        <f>"C22R1is"</f>
        <v>C22R1is</v>
      </c>
      <c r="F215" t="s">
        <v>57</v>
      </c>
      <c r="G215" t="s">
        <v>58</v>
      </c>
      <c r="H215" s="1">
        <v>10058.629999999999</v>
      </c>
      <c r="I215" t="s">
        <v>291</v>
      </c>
      <c r="J215">
        <v>138</v>
      </c>
      <c r="K215">
        <v>35679</v>
      </c>
      <c r="L215">
        <v>26932</v>
      </c>
      <c r="M215" t="s">
        <v>292</v>
      </c>
      <c r="N215" t="s">
        <v>293</v>
      </c>
      <c r="O215" t="s">
        <v>294</v>
      </c>
      <c r="P215">
        <v>6926</v>
      </c>
      <c r="Q215">
        <v>5830</v>
      </c>
      <c r="R215" t="s">
        <v>65</v>
      </c>
    </row>
    <row r="216" spans="1:18" x14ac:dyDescent="0.2">
      <c r="A216" t="s">
        <v>1098</v>
      </c>
      <c r="H216" s="3">
        <f>SUM(H121:H215)</f>
        <v>5914577.5800000001</v>
      </c>
    </row>
    <row r="217" spans="1:18" x14ac:dyDescent="0.2">
      <c r="A217" t="s">
        <v>366</v>
      </c>
      <c r="B217" t="s">
        <v>54</v>
      </c>
      <c r="H217" s="1"/>
    </row>
    <row r="218" spans="1:18" x14ac:dyDescent="0.2">
      <c r="A218" t="s">
        <v>367</v>
      </c>
      <c r="B218" t="s">
        <v>290</v>
      </c>
      <c r="C218" t="s">
        <v>290</v>
      </c>
      <c r="D218" t="s">
        <v>52</v>
      </c>
      <c r="E218" t="str">
        <f>"C22R1is"</f>
        <v>C22R1is</v>
      </c>
      <c r="F218" t="s">
        <v>67</v>
      </c>
      <c r="G218" t="s">
        <v>68</v>
      </c>
      <c r="H218" s="1">
        <v>27204.59</v>
      </c>
      <c r="I218" t="s">
        <v>296</v>
      </c>
      <c r="J218">
        <v>2084</v>
      </c>
      <c r="K218">
        <v>35679</v>
      </c>
      <c r="L218">
        <v>26932</v>
      </c>
      <c r="M218" t="s">
        <v>292</v>
      </c>
      <c r="N218" t="s">
        <v>293</v>
      </c>
      <c r="O218" t="s">
        <v>294</v>
      </c>
      <c r="P218">
        <v>6926</v>
      </c>
      <c r="Q218">
        <v>5830</v>
      </c>
      <c r="R218" t="s">
        <v>65</v>
      </c>
    </row>
    <row r="219" spans="1:18" x14ac:dyDescent="0.2">
      <c r="A219" t="s">
        <v>368</v>
      </c>
      <c r="B219" t="s">
        <v>290</v>
      </c>
      <c r="C219" t="s">
        <v>290</v>
      </c>
      <c r="D219" t="s">
        <v>52</v>
      </c>
      <c r="E219" t="str">
        <f>"C22R2g"</f>
        <v>C22R2g</v>
      </c>
      <c r="F219" t="s">
        <v>71</v>
      </c>
      <c r="G219" t="s">
        <v>72</v>
      </c>
      <c r="H219" s="1">
        <v>188177.65</v>
      </c>
      <c r="I219" t="s">
        <v>298</v>
      </c>
      <c r="J219">
        <v>1893</v>
      </c>
      <c r="K219">
        <v>37236</v>
      </c>
      <c r="L219">
        <v>26771</v>
      </c>
      <c r="M219" t="s">
        <v>292</v>
      </c>
      <c r="N219" t="s">
        <v>293</v>
      </c>
      <c r="O219" t="s">
        <v>294</v>
      </c>
      <c r="P219">
        <v>6926</v>
      </c>
      <c r="Q219">
        <v>5830</v>
      </c>
      <c r="R219" t="s">
        <v>65</v>
      </c>
    </row>
    <row r="220" spans="1:18" x14ac:dyDescent="0.2">
      <c r="A220" t="s">
        <v>369</v>
      </c>
      <c r="B220" t="s">
        <v>290</v>
      </c>
      <c r="C220" t="s">
        <v>290</v>
      </c>
      <c r="D220" t="s">
        <v>52</v>
      </c>
      <c r="E220" t="str">
        <f>"C23R1is"</f>
        <v>C23R1is</v>
      </c>
      <c r="F220" t="s">
        <v>57</v>
      </c>
      <c r="G220" t="s">
        <v>58</v>
      </c>
      <c r="H220" s="1">
        <v>12190.89</v>
      </c>
      <c r="I220" t="s">
        <v>291</v>
      </c>
      <c r="J220">
        <v>158</v>
      </c>
      <c r="K220">
        <v>36688</v>
      </c>
      <c r="L220">
        <v>21094</v>
      </c>
      <c r="M220" t="s">
        <v>292</v>
      </c>
      <c r="N220" t="s">
        <v>293</v>
      </c>
      <c r="O220" t="s">
        <v>294</v>
      </c>
      <c r="P220">
        <v>6926</v>
      </c>
      <c r="Q220">
        <v>5830</v>
      </c>
      <c r="R220" t="s">
        <v>65</v>
      </c>
    </row>
    <row r="221" spans="1:18" x14ac:dyDescent="0.2">
      <c r="A221" t="s">
        <v>370</v>
      </c>
      <c r="B221" t="s">
        <v>290</v>
      </c>
      <c r="C221" t="s">
        <v>290</v>
      </c>
      <c r="D221" t="s">
        <v>52</v>
      </c>
      <c r="E221" t="str">
        <f>"C23R1is"</f>
        <v>C23R1is</v>
      </c>
      <c r="F221" t="s">
        <v>67</v>
      </c>
      <c r="G221" t="s">
        <v>68</v>
      </c>
      <c r="H221" s="1">
        <v>14478.67</v>
      </c>
      <c r="I221" t="s">
        <v>296</v>
      </c>
      <c r="J221">
        <v>534</v>
      </c>
      <c r="K221">
        <v>36688</v>
      </c>
      <c r="L221">
        <v>21094</v>
      </c>
      <c r="M221" t="s">
        <v>292</v>
      </c>
      <c r="N221" t="s">
        <v>293</v>
      </c>
      <c r="O221" t="s">
        <v>294</v>
      </c>
      <c r="P221">
        <v>6926</v>
      </c>
      <c r="Q221">
        <v>5830</v>
      </c>
      <c r="R221" t="s">
        <v>65</v>
      </c>
    </row>
    <row r="222" spans="1:18" x14ac:dyDescent="0.2">
      <c r="A222" t="s">
        <v>371</v>
      </c>
      <c r="B222" t="s">
        <v>290</v>
      </c>
      <c r="C222" t="s">
        <v>290</v>
      </c>
      <c r="D222" t="s">
        <v>52</v>
      </c>
      <c r="E222" t="str">
        <f>"C24R1is"</f>
        <v>C24R1is</v>
      </c>
      <c r="F222" t="s">
        <v>57</v>
      </c>
      <c r="G222" t="s">
        <v>58</v>
      </c>
      <c r="H222" s="1">
        <v>22424.55</v>
      </c>
      <c r="I222" t="s">
        <v>291</v>
      </c>
      <c r="J222">
        <v>157</v>
      </c>
      <c r="K222">
        <v>37568</v>
      </c>
      <c r="L222">
        <v>11269</v>
      </c>
      <c r="M222" t="s">
        <v>292</v>
      </c>
      <c r="N222" t="s">
        <v>293</v>
      </c>
      <c r="O222" t="s">
        <v>294</v>
      </c>
      <c r="P222">
        <v>6926</v>
      </c>
      <c r="Q222">
        <v>5830</v>
      </c>
      <c r="R222" t="s">
        <v>65</v>
      </c>
    </row>
    <row r="223" spans="1:18" x14ac:dyDescent="0.2">
      <c r="A223" t="s">
        <v>372</v>
      </c>
      <c r="B223" t="s">
        <v>290</v>
      </c>
      <c r="C223" t="s">
        <v>290</v>
      </c>
      <c r="D223" t="s">
        <v>52</v>
      </c>
      <c r="E223" t="str">
        <f>"C24R1is"</f>
        <v>C24R1is</v>
      </c>
      <c r="F223" t="s">
        <v>67</v>
      </c>
      <c r="G223" t="s">
        <v>68</v>
      </c>
      <c r="H223" s="1">
        <v>16938.61</v>
      </c>
      <c r="I223" t="s">
        <v>296</v>
      </c>
      <c r="J223">
        <v>749</v>
      </c>
      <c r="K223">
        <v>37568</v>
      </c>
      <c r="L223">
        <v>11269</v>
      </c>
      <c r="M223" t="s">
        <v>292</v>
      </c>
      <c r="N223" t="s">
        <v>293</v>
      </c>
      <c r="O223" t="s">
        <v>294</v>
      </c>
      <c r="P223">
        <v>6926</v>
      </c>
      <c r="Q223">
        <v>5830</v>
      </c>
      <c r="R223" t="s">
        <v>65</v>
      </c>
    </row>
    <row r="224" spans="1:18" x14ac:dyDescent="0.2">
      <c r="A224" t="s">
        <v>373</v>
      </c>
      <c r="B224" t="s">
        <v>290</v>
      </c>
      <c r="C224" t="s">
        <v>290</v>
      </c>
      <c r="D224" t="s">
        <v>52</v>
      </c>
      <c r="E224" t="str">
        <f>"C24R2g"</f>
        <v>C24R2g</v>
      </c>
      <c r="F224" t="s">
        <v>71</v>
      </c>
      <c r="G224" t="s">
        <v>72</v>
      </c>
      <c r="H224" s="1">
        <v>184382.39</v>
      </c>
      <c r="I224" t="s">
        <v>298</v>
      </c>
      <c r="J224">
        <v>1400</v>
      </c>
      <c r="K224">
        <v>36227</v>
      </c>
      <c r="L224">
        <v>11420</v>
      </c>
      <c r="M224" t="s">
        <v>292</v>
      </c>
      <c r="N224" t="s">
        <v>293</v>
      </c>
      <c r="O224" t="s">
        <v>294</v>
      </c>
      <c r="P224">
        <v>6926</v>
      </c>
      <c r="Q224">
        <v>5830</v>
      </c>
      <c r="R224" t="s">
        <v>65</v>
      </c>
    </row>
    <row r="225" spans="1:18" x14ac:dyDescent="0.2">
      <c r="A225" t="s">
        <v>374</v>
      </c>
      <c r="B225" t="s">
        <v>290</v>
      </c>
      <c r="C225" t="s">
        <v>290</v>
      </c>
      <c r="D225" t="s">
        <v>52</v>
      </c>
      <c r="E225" t="str">
        <f>"C24R3g"</f>
        <v>C24R3g</v>
      </c>
      <c r="F225" t="s">
        <v>71</v>
      </c>
      <c r="G225" t="s">
        <v>72</v>
      </c>
      <c r="H225" s="1">
        <v>153789.4</v>
      </c>
      <c r="I225" t="s">
        <v>298</v>
      </c>
      <c r="J225">
        <v>853</v>
      </c>
      <c r="K225">
        <v>34487</v>
      </c>
      <c r="L225">
        <v>11546</v>
      </c>
      <c r="M225" t="s">
        <v>292</v>
      </c>
      <c r="N225" t="s">
        <v>293</v>
      </c>
      <c r="O225" t="s">
        <v>294</v>
      </c>
      <c r="P225">
        <v>6926</v>
      </c>
      <c r="Q225">
        <v>5830</v>
      </c>
      <c r="R225" t="s">
        <v>65</v>
      </c>
    </row>
    <row r="226" spans="1:18" x14ac:dyDescent="0.2">
      <c r="A226" t="s">
        <v>375</v>
      </c>
      <c r="B226" t="s">
        <v>290</v>
      </c>
      <c r="C226" t="s">
        <v>290</v>
      </c>
      <c r="D226" t="s">
        <v>52</v>
      </c>
      <c r="E226" t="str">
        <f>"C25R1is"</f>
        <v>C25R1is</v>
      </c>
      <c r="F226" t="s">
        <v>57</v>
      </c>
      <c r="G226" t="s">
        <v>58</v>
      </c>
      <c r="H226" s="1">
        <v>15667.44</v>
      </c>
      <c r="I226" t="s">
        <v>291</v>
      </c>
      <c r="J226">
        <v>268</v>
      </c>
      <c r="K226" t="s">
        <v>376</v>
      </c>
      <c r="L226" t="s">
        <v>377</v>
      </c>
      <c r="M226" t="s">
        <v>292</v>
      </c>
      <c r="N226" t="s">
        <v>293</v>
      </c>
      <c r="O226" t="s">
        <v>294</v>
      </c>
      <c r="P226">
        <v>6926</v>
      </c>
      <c r="Q226">
        <v>5830</v>
      </c>
      <c r="R226" t="s">
        <v>65</v>
      </c>
    </row>
    <row r="227" spans="1:18" x14ac:dyDescent="0.2">
      <c r="A227" t="s">
        <v>378</v>
      </c>
      <c r="B227" t="s">
        <v>290</v>
      </c>
      <c r="C227" t="s">
        <v>290</v>
      </c>
      <c r="D227" t="s">
        <v>52</v>
      </c>
      <c r="E227" t="str">
        <f>"C25R1is"</f>
        <v>C25R1is</v>
      </c>
      <c r="F227" t="s">
        <v>67</v>
      </c>
      <c r="G227" t="s">
        <v>68</v>
      </c>
      <c r="H227" s="1">
        <v>26167.34</v>
      </c>
      <c r="I227" t="s">
        <v>296</v>
      </c>
      <c r="J227">
        <v>1806</v>
      </c>
      <c r="K227" t="s">
        <v>376</v>
      </c>
      <c r="L227" t="s">
        <v>377</v>
      </c>
      <c r="M227" t="s">
        <v>292</v>
      </c>
      <c r="N227" t="s">
        <v>293</v>
      </c>
      <c r="O227" t="s">
        <v>294</v>
      </c>
      <c r="P227">
        <v>6926</v>
      </c>
      <c r="Q227">
        <v>5830</v>
      </c>
      <c r="R227" t="s">
        <v>65</v>
      </c>
    </row>
    <row r="228" spans="1:18" x14ac:dyDescent="0.2">
      <c r="A228" t="s">
        <v>379</v>
      </c>
      <c r="B228" t="s">
        <v>290</v>
      </c>
      <c r="C228" t="s">
        <v>290</v>
      </c>
      <c r="D228" t="s">
        <v>52</v>
      </c>
      <c r="E228" t="str">
        <f>"C25R2is"</f>
        <v>C25R2is</v>
      </c>
      <c r="F228" t="s">
        <v>57</v>
      </c>
      <c r="G228" t="s">
        <v>58</v>
      </c>
      <c r="H228" s="1">
        <v>18211.54</v>
      </c>
      <c r="I228" t="s">
        <v>291</v>
      </c>
      <c r="J228">
        <v>327</v>
      </c>
      <c r="K228" t="s">
        <v>380</v>
      </c>
      <c r="L228" t="s">
        <v>381</v>
      </c>
      <c r="M228" t="s">
        <v>292</v>
      </c>
      <c r="N228" t="s">
        <v>293</v>
      </c>
      <c r="O228" t="s">
        <v>294</v>
      </c>
      <c r="P228">
        <v>6926</v>
      </c>
      <c r="Q228">
        <v>5830</v>
      </c>
      <c r="R228" t="s">
        <v>65</v>
      </c>
    </row>
    <row r="229" spans="1:18" x14ac:dyDescent="0.2">
      <c r="A229" t="s">
        <v>382</v>
      </c>
      <c r="B229" t="s">
        <v>290</v>
      </c>
      <c r="C229" t="s">
        <v>290</v>
      </c>
      <c r="D229" t="s">
        <v>52</v>
      </c>
      <c r="E229" t="str">
        <f>"C25R2is"</f>
        <v>C25R2is</v>
      </c>
      <c r="F229" t="s">
        <v>67</v>
      </c>
      <c r="G229" t="s">
        <v>68</v>
      </c>
      <c r="H229" s="1">
        <v>31450.73</v>
      </c>
      <c r="I229" t="s">
        <v>296</v>
      </c>
      <c r="J229">
        <v>2056</v>
      </c>
      <c r="K229" t="s">
        <v>380</v>
      </c>
      <c r="L229" t="s">
        <v>381</v>
      </c>
      <c r="M229" t="s">
        <v>292</v>
      </c>
      <c r="N229" t="s">
        <v>293</v>
      </c>
      <c r="O229" t="s">
        <v>294</v>
      </c>
      <c r="P229">
        <v>6926</v>
      </c>
      <c r="Q229">
        <v>5830</v>
      </c>
      <c r="R229" t="s">
        <v>65</v>
      </c>
    </row>
    <row r="230" spans="1:18" x14ac:dyDescent="0.2">
      <c r="A230" t="s">
        <v>383</v>
      </c>
      <c r="B230" t="s">
        <v>290</v>
      </c>
      <c r="C230" t="s">
        <v>290</v>
      </c>
      <c r="D230" t="s">
        <v>52</v>
      </c>
      <c r="E230" t="str">
        <f>"C25R3g"</f>
        <v>C25R3g</v>
      </c>
      <c r="F230" t="s">
        <v>71</v>
      </c>
      <c r="G230" t="s">
        <v>72</v>
      </c>
      <c r="H230" s="1">
        <v>183414.57</v>
      </c>
      <c r="I230" t="s">
        <v>298</v>
      </c>
      <c r="J230">
        <v>1569</v>
      </c>
      <c r="K230" t="s">
        <v>384</v>
      </c>
      <c r="L230" t="s">
        <v>385</v>
      </c>
      <c r="M230" t="s">
        <v>292</v>
      </c>
      <c r="N230" t="s">
        <v>293</v>
      </c>
      <c r="O230" t="s">
        <v>294</v>
      </c>
      <c r="P230">
        <v>6926</v>
      </c>
      <c r="Q230">
        <v>5830</v>
      </c>
      <c r="R230" t="s">
        <v>65</v>
      </c>
    </row>
    <row r="231" spans="1:18" x14ac:dyDescent="0.2">
      <c r="A231" t="s">
        <v>386</v>
      </c>
      <c r="B231" t="s">
        <v>290</v>
      </c>
      <c r="C231" t="s">
        <v>290</v>
      </c>
      <c r="D231" t="s">
        <v>52</v>
      </c>
      <c r="E231" t="str">
        <f>"C25R4g"</f>
        <v>C25R4g</v>
      </c>
      <c r="F231" t="s">
        <v>71</v>
      </c>
      <c r="G231" t="s">
        <v>72</v>
      </c>
      <c r="H231" s="1">
        <v>157437.47</v>
      </c>
      <c r="I231" t="s">
        <v>298</v>
      </c>
      <c r="J231">
        <v>1341</v>
      </c>
      <c r="K231" t="s">
        <v>387</v>
      </c>
      <c r="L231" t="s">
        <v>388</v>
      </c>
      <c r="M231" t="s">
        <v>292</v>
      </c>
      <c r="N231" t="s">
        <v>293</v>
      </c>
      <c r="O231" t="s">
        <v>294</v>
      </c>
      <c r="P231">
        <v>6926</v>
      </c>
      <c r="Q231">
        <v>5830</v>
      </c>
      <c r="R231" t="s">
        <v>65</v>
      </c>
    </row>
    <row r="232" spans="1:18" x14ac:dyDescent="0.2">
      <c r="A232" t="s">
        <v>389</v>
      </c>
      <c r="B232" t="s">
        <v>290</v>
      </c>
      <c r="C232" t="s">
        <v>290</v>
      </c>
      <c r="D232" t="s">
        <v>52</v>
      </c>
      <c r="E232" t="str">
        <f>"C27R1is"</f>
        <v>C27R1is</v>
      </c>
      <c r="F232" t="s">
        <v>57</v>
      </c>
      <c r="G232" t="s">
        <v>58</v>
      </c>
      <c r="H232" s="1">
        <v>7378.21</v>
      </c>
      <c r="I232" t="s">
        <v>291</v>
      </c>
      <c r="J232">
        <v>80</v>
      </c>
      <c r="K232">
        <v>31897</v>
      </c>
      <c r="L232">
        <v>20781</v>
      </c>
      <c r="M232" t="s">
        <v>292</v>
      </c>
      <c r="N232" t="s">
        <v>293</v>
      </c>
      <c r="O232" t="s">
        <v>294</v>
      </c>
      <c r="P232">
        <v>6926</v>
      </c>
      <c r="Q232">
        <v>5830</v>
      </c>
      <c r="R232" t="s">
        <v>65</v>
      </c>
    </row>
    <row r="233" spans="1:18" x14ac:dyDescent="0.2">
      <c r="A233" t="s">
        <v>390</v>
      </c>
      <c r="B233" t="s">
        <v>290</v>
      </c>
      <c r="C233" t="s">
        <v>290</v>
      </c>
      <c r="D233" t="s">
        <v>52</v>
      </c>
      <c r="E233" t="str">
        <f>"C27R1is"</f>
        <v>C27R1is</v>
      </c>
      <c r="F233" t="s">
        <v>67</v>
      </c>
      <c r="G233" t="s">
        <v>68</v>
      </c>
      <c r="H233" s="1">
        <v>38859.980000000003</v>
      </c>
      <c r="I233" t="s">
        <v>296</v>
      </c>
      <c r="J233">
        <v>1838</v>
      </c>
      <c r="K233">
        <v>31897</v>
      </c>
      <c r="L233">
        <v>20781</v>
      </c>
      <c r="M233" t="s">
        <v>292</v>
      </c>
      <c r="N233" t="s">
        <v>293</v>
      </c>
      <c r="O233" t="s">
        <v>294</v>
      </c>
      <c r="P233">
        <v>6926</v>
      </c>
      <c r="Q233">
        <v>5830</v>
      </c>
      <c r="R233" t="s">
        <v>65</v>
      </c>
    </row>
    <row r="234" spans="1:18" x14ac:dyDescent="0.2">
      <c r="A234" t="s">
        <v>391</v>
      </c>
      <c r="B234" t="s">
        <v>290</v>
      </c>
      <c r="C234" t="s">
        <v>290</v>
      </c>
      <c r="D234" t="s">
        <v>52</v>
      </c>
      <c r="E234" t="str">
        <f>"C27R2is"</f>
        <v>C27R2is</v>
      </c>
      <c r="F234" t="s">
        <v>57</v>
      </c>
      <c r="G234" t="s">
        <v>58</v>
      </c>
      <c r="H234" s="1">
        <v>3575.91</v>
      </c>
      <c r="I234" t="s">
        <v>291</v>
      </c>
      <c r="J234">
        <v>54</v>
      </c>
      <c r="K234">
        <v>32793</v>
      </c>
      <c r="L234">
        <v>21373</v>
      </c>
      <c r="M234" t="s">
        <v>292</v>
      </c>
      <c r="N234" t="s">
        <v>293</v>
      </c>
      <c r="O234" t="s">
        <v>294</v>
      </c>
      <c r="P234">
        <v>6926</v>
      </c>
      <c r="Q234">
        <v>5830</v>
      </c>
      <c r="R234" t="s">
        <v>65</v>
      </c>
    </row>
    <row r="235" spans="1:18" x14ac:dyDescent="0.2">
      <c r="A235" t="s">
        <v>392</v>
      </c>
      <c r="B235" t="s">
        <v>290</v>
      </c>
      <c r="C235" t="s">
        <v>290</v>
      </c>
      <c r="D235" t="s">
        <v>52</v>
      </c>
      <c r="E235" t="str">
        <f>"C27R2is"</f>
        <v>C27R2is</v>
      </c>
      <c r="F235" t="s">
        <v>67</v>
      </c>
      <c r="G235" t="s">
        <v>68</v>
      </c>
      <c r="H235" s="1">
        <v>26756.93</v>
      </c>
      <c r="I235" t="s">
        <v>296</v>
      </c>
      <c r="J235">
        <v>1364</v>
      </c>
      <c r="K235">
        <v>32793</v>
      </c>
      <c r="L235">
        <v>21373</v>
      </c>
      <c r="M235" t="s">
        <v>292</v>
      </c>
      <c r="N235" t="s">
        <v>293</v>
      </c>
      <c r="O235" t="s">
        <v>294</v>
      </c>
      <c r="P235">
        <v>6926</v>
      </c>
      <c r="Q235">
        <v>5830</v>
      </c>
      <c r="R235" t="s">
        <v>65</v>
      </c>
    </row>
    <row r="236" spans="1:18" x14ac:dyDescent="0.2">
      <c r="A236" t="s">
        <v>393</v>
      </c>
      <c r="B236" t="s">
        <v>290</v>
      </c>
      <c r="C236" t="s">
        <v>290</v>
      </c>
      <c r="D236" t="s">
        <v>52</v>
      </c>
      <c r="E236" t="str">
        <f>"C27R3g"</f>
        <v>C27R3g</v>
      </c>
      <c r="F236" t="s">
        <v>71</v>
      </c>
      <c r="G236" t="s">
        <v>72</v>
      </c>
      <c r="H236" s="1">
        <v>78680.259999999995</v>
      </c>
      <c r="I236" t="s">
        <v>298</v>
      </c>
      <c r="J236">
        <v>966</v>
      </c>
      <c r="K236">
        <v>32904</v>
      </c>
      <c r="L236">
        <v>22580</v>
      </c>
      <c r="M236" t="s">
        <v>292</v>
      </c>
      <c r="N236" t="s">
        <v>293</v>
      </c>
      <c r="O236" t="s">
        <v>294</v>
      </c>
      <c r="P236">
        <v>6926</v>
      </c>
      <c r="Q236">
        <v>5830</v>
      </c>
      <c r="R236" t="s">
        <v>65</v>
      </c>
    </row>
    <row r="237" spans="1:18" x14ac:dyDescent="0.2">
      <c r="A237" t="s">
        <v>394</v>
      </c>
      <c r="B237" t="s">
        <v>290</v>
      </c>
      <c r="C237" t="s">
        <v>290</v>
      </c>
      <c r="D237" t="s">
        <v>52</v>
      </c>
      <c r="E237" t="str">
        <f>"C28R1g"</f>
        <v>C28R1g</v>
      </c>
      <c r="F237" t="s">
        <v>71</v>
      </c>
      <c r="G237" t="s">
        <v>72</v>
      </c>
      <c r="H237" s="1">
        <v>96083.98</v>
      </c>
      <c r="I237" t="s">
        <v>298</v>
      </c>
      <c r="J237">
        <v>1140</v>
      </c>
      <c r="K237">
        <v>30702</v>
      </c>
      <c r="L237">
        <v>16540</v>
      </c>
      <c r="M237" t="s">
        <v>292</v>
      </c>
      <c r="N237" t="s">
        <v>293</v>
      </c>
      <c r="O237" t="s">
        <v>294</v>
      </c>
      <c r="P237">
        <v>6926</v>
      </c>
      <c r="Q237">
        <v>5830</v>
      </c>
      <c r="R237" t="s">
        <v>65</v>
      </c>
    </row>
    <row r="238" spans="1:18" x14ac:dyDescent="0.2">
      <c r="A238" t="s">
        <v>395</v>
      </c>
      <c r="B238" t="s">
        <v>290</v>
      </c>
      <c r="C238" t="s">
        <v>290</v>
      </c>
      <c r="D238" t="s">
        <v>52</v>
      </c>
      <c r="E238" t="str">
        <f>"C30R1is"</f>
        <v>C30R1is</v>
      </c>
      <c r="F238" t="s">
        <v>57</v>
      </c>
      <c r="G238" t="s">
        <v>58</v>
      </c>
      <c r="H238" s="1">
        <v>26872.12</v>
      </c>
      <c r="I238" t="s">
        <v>291</v>
      </c>
      <c r="J238">
        <v>212</v>
      </c>
      <c r="K238" t="s">
        <v>396</v>
      </c>
      <c r="L238" t="s">
        <v>397</v>
      </c>
      <c r="M238" t="s">
        <v>292</v>
      </c>
      <c r="N238" t="s">
        <v>293</v>
      </c>
      <c r="O238" t="s">
        <v>294</v>
      </c>
      <c r="P238">
        <v>6926</v>
      </c>
      <c r="Q238">
        <v>5830</v>
      </c>
      <c r="R238" t="s">
        <v>65</v>
      </c>
    </row>
    <row r="239" spans="1:18" x14ac:dyDescent="0.2">
      <c r="A239" t="s">
        <v>398</v>
      </c>
      <c r="B239" t="s">
        <v>290</v>
      </c>
      <c r="C239" t="s">
        <v>290</v>
      </c>
      <c r="D239" t="s">
        <v>52</v>
      </c>
      <c r="E239" t="str">
        <f>"C30R1is"</f>
        <v>C30R1is</v>
      </c>
      <c r="F239" t="s">
        <v>67</v>
      </c>
      <c r="G239" t="s">
        <v>68</v>
      </c>
      <c r="H239" s="1">
        <v>20084.45</v>
      </c>
      <c r="I239" t="s">
        <v>296</v>
      </c>
      <c r="J239">
        <v>1317</v>
      </c>
      <c r="K239" t="s">
        <v>396</v>
      </c>
      <c r="L239" t="s">
        <v>397</v>
      </c>
      <c r="M239" t="s">
        <v>292</v>
      </c>
      <c r="N239" t="s">
        <v>293</v>
      </c>
      <c r="O239" t="s">
        <v>294</v>
      </c>
      <c r="P239">
        <v>6926</v>
      </c>
      <c r="Q239">
        <v>5830</v>
      </c>
      <c r="R239" t="s">
        <v>65</v>
      </c>
    </row>
    <row r="240" spans="1:18" x14ac:dyDescent="0.2">
      <c r="A240" t="s">
        <v>399</v>
      </c>
      <c r="B240" t="s">
        <v>290</v>
      </c>
      <c r="C240" t="s">
        <v>290</v>
      </c>
      <c r="D240" t="s">
        <v>52</v>
      </c>
      <c r="E240" t="str">
        <f>"C30R2is"</f>
        <v>C30R2is</v>
      </c>
      <c r="F240" t="s">
        <v>57</v>
      </c>
      <c r="G240" t="s">
        <v>58</v>
      </c>
      <c r="H240" s="1">
        <v>33681.39</v>
      </c>
      <c r="I240" t="s">
        <v>291</v>
      </c>
      <c r="J240">
        <v>275</v>
      </c>
      <c r="K240" t="s">
        <v>400</v>
      </c>
      <c r="L240" t="s">
        <v>401</v>
      </c>
      <c r="M240" t="s">
        <v>292</v>
      </c>
      <c r="N240" t="s">
        <v>293</v>
      </c>
      <c r="O240" t="s">
        <v>294</v>
      </c>
      <c r="P240">
        <v>6926</v>
      </c>
      <c r="Q240">
        <v>5830</v>
      </c>
      <c r="R240" t="s">
        <v>65</v>
      </c>
    </row>
    <row r="241" spans="1:18" x14ac:dyDescent="0.2">
      <c r="A241" t="s">
        <v>402</v>
      </c>
      <c r="B241" t="s">
        <v>290</v>
      </c>
      <c r="C241" t="s">
        <v>290</v>
      </c>
      <c r="D241" t="s">
        <v>52</v>
      </c>
      <c r="E241" t="str">
        <f>"C30R2is"</f>
        <v>C30R2is</v>
      </c>
      <c r="F241" t="s">
        <v>67</v>
      </c>
      <c r="G241" t="s">
        <v>68</v>
      </c>
      <c r="H241" s="1">
        <v>16790.939999999999</v>
      </c>
      <c r="I241" t="s">
        <v>296</v>
      </c>
      <c r="J241">
        <v>1328</v>
      </c>
      <c r="K241" t="s">
        <v>400</v>
      </c>
      <c r="L241" t="s">
        <v>401</v>
      </c>
      <c r="M241" t="s">
        <v>292</v>
      </c>
      <c r="N241" t="s">
        <v>293</v>
      </c>
      <c r="O241" t="s">
        <v>294</v>
      </c>
      <c r="P241">
        <v>6926</v>
      </c>
      <c r="Q241">
        <v>5830</v>
      </c>
      <c r="R241" t="s">
        <v>65</v>
      </c>
    </row>
    <row r="242" spans="1:18" x14ac:dyDescent="0.2">
      <c r="A242" t="s">
        <v>403</v>
      </c>
      <c r="B242" t="s">
        <v>290</v>
      </c>
      <c r="C242" t="s">
        <v>290</v>
      </c>
      <c r="D242" t="s">
        <v>52</v>
      </c>
      <c r="E242" t="str">
        <f>"C30R3g"</f>
        <v>C30R3g</v>
      </c>
      <c r="F242" t="s">
        <v>71</v>
      </c>
      <c r="G242" t="s">
        <v>72</v>
      </c>
      <c r="H242" s="1">
        <v>184489.43</v>
      </c>
      <c r="I242" t="s">
        <v>298</v>
      </c>
      <c r="J242">
        <v>1951</v>
      </c>
      <c r="K242" t="s">
        <v>404</v>
      </c>
      <c r="L242" t="s">
        <v>405</v>
      </c>
      <c r="M242" t="s">
        <v>292</v>
      </c>
      <c r="N242" t="s">
        <v>293</v>
      </c>
      <c r="O242" t="s">
        <v>294</v>
      </c>
      <c r="P242">
        <v>6926</v>
      </c>
      <c r="Q242">
        <v>5830</v>
      </c>
      <c r="R242" t="s">
        <v>65</v>
      </c>
    </row>
    <row r="243" spans="1:18" x14ac:dyDescent="0.2">
      <c r="A243" t="s">
        <v>406</v>
      </c>
      <c r="B243" t="s">
        <v>290</v>
      </c>
      <c r="C243" t="s">
        <v>290</v>
      </c>
      <c r="D243" t="s">
        <v>52</v>
      </c>
      <c r="E243" t="str">
        <f>"C30R4g"</f>
        <v>C30R4g</v>
      </c>
      <c r="F243" t="s">
        <v>71</v>
      </c>
      <c r="G243" t="s">
        <v>72</v>
      </c>
      <c r="H243" s="1">
        <v>141924.57999999999</v>
      </c>
      <c r="I243" t="s">
        <v>298</v>
      </c>
      <c r="J243">
        <v>1718</v>
      </c>
      <c r="K243" t="s">
        <v>407</v>
      </c>
      <c r="L243" t="s">
        <v>408</v>
      </c>
      <c r="M243" t="s">
        <v>292</v>
      </c>
      <c r="N243" t="s">
        <v>293</v>
      </c>
      <c r="O243" t="s">
        <v>294</v>
      </c>
      <c r="P243">
        <v>6926</v>
      </c>
      <c r="Q243">
        <v>5830</v>
      </c>
      <c r="R243" t="s">
        <v>65</v>
      </c>
    </row>
    <row r="244" spans="1:18" x14ac:dyDescent="0.2">
      <c r="A244" t="s">
        <v>409</v>
      </c>
      <c r="B244" t="s">
        <v>290</v>
      </c>
      <c r="C244" t="s">
        <v>290</v>
      </c>
      <c r="D244" t="s">
        <v>52</v>
      </c>
      <c r="E244" t="str">
        <f>"C31R1is"</f>
        <v>C31R1is</v>
      </c>
      <c r="F244" t="s">
        <v>57</v>
      </c>
      <c r="G244" t="s">
        <v>58</v>
      </c>
      <c r="H244" s="1">
        <v>28858.31</v>
      </c>
      <c r="I244" t="s">
        <v>291</v>
      </c>
      <c r="J244">
        <v>163</v>
      </c>
      <c r="K244">
        <v>23782</v>
      </c>
      <c r="L244">
        <v>21042</v>
      </c>
      <c r="M244" t="s">
        <v>292</v>
      </c>
      <c r="N244" t="s">
        <v>293</v>
      </c>
      <c r="O244" t="s">
        <v>294</v>
      </c>
      <c r="P244">
        <v>6926</v>
      </c>
      <c r="Q244">
        <v>5830</v>
      </c>
      <c r="R244" t="s">
        <v>65</v>
      </c>
    </row>
    <row r="245" spans="1:18" x14ac:dyDescent="0.2">
      <c r="A245" t="s">
        <v>410</v>
      </c>
      <c r="B245" t="s">
        <v>290</v>
      </c>
      <c r="C245" t="s">
        <v>290</v>
      </c>
      <c r="D245" t="s">
        <v>52</v>
      </c>
      <c r="E245" t="str">
        <f>"C31R1is"</f>
        <v>C31R1is</v>
      </c>
      <c r="F245" t="s">
        <v>67</v>
      </c>
      <c r="G245" t="s">
        <v>68</v>
      </c>
      <c r="H245" s="1">
        <v>9358.16</v>
      </c>
      <c r="I245" t="s">
        <v>296</v>
      </c>
      <c r="J245">
        <v>450</v>
      </c>
      <c r="K245">
        <v>23782</v>
      </c>
      <c r="L245">
        <v>21042</v>
      </c>
      <c r="M245" t="s">
        <v>292</v>
      </c>
      <c r="N245" t="s">
        <v>293</v>
      </c>
      <c r="O245" t="s">
        <v>294</v>
      </c>
      <c r="P245">
        <v>6926</v>
      </c>
      <c r="Q245">
        <v>5830</v>
      </c>
      <c r="R245" t="s">
        <v>65</v>
      </c>
    </row>
    <row r="246" spans="1:18" x14ac:dyDescent="0.2">
      <c r="A246" t="s">
        <v>411</v>
      </c>
      <c r="B246" t="s">
        <v>290</v>
      </c>
      <c r="C246" t="s">
        <v>290</v>
      </c>
      <c r="D246" t="s">
        <v>52</v>
      </c>
      <c r="E246" t="str">
        <f>"C31R2g"</f>
        <v>C31R2g</v>
      </c>
      <c r="F246" t="s">
        <v>71</v>
      </c>
      <c r="G246" t="s">
        <v>72</v>
      </c>
      <c r="H246" s="1">
        <v>198700.11</v>
      </c>
      <c r="I246" t="s">
        <v>298</v>
      </c>
      <c r="J246">
        <v>929</v>
      </c>
      <c r="K246" t="s">
        <v>412</v>
      </c>
      <c r="L246" t="s">
        <v>413</v>
      </c>
      <c r="M246" t="s">
        <v>292</v>
      </c>
      <c r="N246" t="s">
        <v>293</v>
      </c>
      <c r="O246" t="s">
        <v>294</v>
      </c>
      <c r="P246">
        <v>6926</v>
      </c>
      <c r="Q246">
        <v>5830</v>
      </c>
      <c r="R246" t="s">
        <v>65</v>
      </c>
    </row>
    <row r="247" spans="1:18" x14ac:dyDescent="0.2">
      <c r="A247" t="s">
        <v>414</v>
      </c>
      <c r="B247" t="s">
        <v>290</v>
      </c>
      <c r="C247" t="s">
        <v>290</v>
      </c>
      <c r="D247" t="s">
        <v>52</v>
      </c>
      <c r="E247" t="str">
        <f>"C32R1is"</f>
        <v>C32R1is</v>
      </c>
      <c r="F247" t="s">
        <v>57</v>
      </c>
      <c r="G247" t="s">
        <v>58</v>
      </c>
      <c r="H247" s="1">
        <v>50794.879999999997</v>
      </c>
      <c r="I247" t="s">
        <v>291</v>
      </c>
      <c r="J247">
        <v>332</v>
      </c>
      <c r="K247" t="s">
        <v>415</v>
      </c>
      <c r="L247" t="s">
        <v>416</v>
      </c>
      <c r="M247" t="s">
        <v>292</v>
      </c>
      <c r="N247" t="s">
        <v>293</v>
      </c>
      <c r="O247" t="s">
        <v>294</v>
      </c>
      <c r="P247">
        <v>6926</v>
      </c>
      <c r="Q247">
        <v>5830</v>
      </c>
      <c r="R247" t="s">
        <v>65</v>
      </c>
    </row>
    <row r="248" spans="1:18" x14ac:dyDescent="0.2">
      <c r="A248" t="s">
        <v>417</v>
      </c>
      <c r="B248" t="s">
        <v>290</v>
      </c>
      <c r="C248" t="s">
        <v>290</v>
      </c>
      <c r="D248" t="s">
        <v>52</v>
      </c>
      <c r="E248" t="str">
        <f>"C32R1is"</f>
        <v>C32R1is</v>
      </c>
      <c r="F248" t="s">
        <v>67</v>
      </c>
      <c r="G248" t="s">
        <v>68</v>
      </c>
      <c r="H248" s="1">
        <v>10860.37</v>
      </c>
      <c r="I248" t="s">
        <v>296</v>
      </c>
      <c r="J248">
        <v>489</v>
      </c>
      <c r="K248" t="s">
        <v>415</v>
      </c>
      <c r="L248" t="s">
        <v>416</v>
      </c>
      <c r="M248" t="s">
        <v>292</v>
      </c>
      <c r="N248" t="s">
        <v>293</v>
      </c>
      <c r="O248" t="s">
        <v>294</v>
      </c>
      <c r="P248">
        <v>6926</v>
      </c>
      <c r="Q248">
        <v>5830</v>
      </c>
      <c r="R248" t="s">
        <v>65</v>
      </c>
    </row>
    <row r="249" spans="1:18" x14ac:dyDescent="0.2">
      <c r="A249" t="s">
        <v>418</v>
      </c>
      <c r="B249" t="s">
        <v>290</v>
      </c>
      <c r="C249" t="s">
        <v>290</v>
      </c>
      <c r="D249" t="s">
        <v>52</v>
      </c>
      <c r="E249" t="str">
        <f>"C32R2g"</f>
        <v>C32R2g</v>
      </c>
      <c r="F249" t="s">
        <v>71</v>
      </c>
      <c r="G249" t="s">
        <v>72</v>
      </c>
      <c r="H249" s="1">
        <v>169847.08</v>
      </c>
      <c r="I249" t="s">
        <v>298</v>
      </c>
      <c r="J249">
        <v>1016</v>
      </c>
      <c r="K249" t="s">
        <v>419</v>
      </c>
      <c r="L249" t="s">
        <v>420</v>
      </c>
      <c r="M249" t="s">
        <v>292</v>
      </c>
      <c r="N249" t="s">
        <v>293</v>
      </c>
      <c r="O249" t="s">
        <v>294</v>
      </c>
      <c r="P249">
        <v>6926</v>
      </c>
      <c r="Q249">
        <v>5830</v>
      </c>
      <c r="R249" t="s">
        <v>65</v>
      </c>
    </row>
    <row r="250" spans="1:18" x14ac:dyDescent="0.2">
      <c r="A250" t="s">
        <v>421</v>
      </c>
      <c r="B250" t="s">
        <v>290</v>
      </c>
      <c r="C250" t="s">
        <v>290</v>
      </c>
      <c r="D250" t="s">
        <v>52</v>
      </c>
      <c r="E250" t="str">
        <f>"C33R1is"</f>
        <v>C33R1is</v>
      </c>
      <c r="F250" t="s">
        <v>57</v>
      </c>
      <c r="G250" t="s">
        <v>58</v>
      </c>
      <c r="H250" s="1">
        <v>12104.17</v>
      </c>
      <c r="I250" t="s">
        <v>291</v>
      </c>
      <c r="J250">
        <v>274</v>
      </c>
      <c r="K250">
        <v>19256</v>
      </c>
      <c r="L250">
        <v>34710</v>
      </c>
      <c r="M250" t="s">
        <v>292</v>
      </c>
      <c r="N250" t="s">
        <v>293</v>
      </c>
      <c r="O250" t="s">
        <v>294</v>
      </c>
      <c r="P250">
        <v>6926</v>
      </c>
      <c r="Q250">
        <v>5830</v>
      </c>
      <c r="R250" t="s">
        <v>65</v>
      </c>
    </row>
    <row r="251" spans="1:18" x14ac:dyDescent="0.2">
      <c r="A251" t="s">
        <v>422</v>
      </c>
      <c r="B251" t="s">
        <v>290</v>
      </c>
      <c r="C251" t="s">
        <v>290</v>
      </c>
      <c r="D251" t="s">
        <v>52</v>
      </c>
      <c r="E251" t="str">
        <f>"C33R1is"</f>
        <v>C33R1is</v>
      </c>
      <c r="F251" t="s">
        <v>67</v>
      </c>
      <c r="G251" t="s">
        <v>68</v>
      </c>
      <c r="H251" s="1">
        <v>30973.94</v>
      </c>
      <c r="I251" t="s">
        <v>296</v>
      </c>
      <c r="J251">
        <v>933</v>
      </c>
      <c r="K251">
        <v>19256</v>
      </c>
      <c r="L251">
        <v>34710</v>
      </c>
      <c r="M251" t="s">
        <v>292</v>
      </c>
      <c r="N251" t="s">
        <v>293</v>
      </c>
      <c r="O251" t="s">
        <v>294</v>
      </c>
      <c r="P251">
        <v>6926</v>
      </c>
      <c r="Q251">
        <v>5830</v>
      </c>
      <c r="R251" t="s">
        <v>65</v>
      </c>
    </row>
    <row r="252" spans="1:18" x14ac:dyDescent="0.2">
      <c r="A252" t="s">
        <v>423</v>
      </c>
      <c r="B252" t="s">
        <v>290</v>
      </c>
      <c r="C252" t="s">
        <v>290</v>
      </c>
      <c r="D252" t="s">
        <v>52</v>
      </c>
      <c r="E252" t="str">
        <f>"C34R1is"</f>
        <v>C34R1is</v>
      </c>
      <c r="F252" t="s">
        <v>57</v>
      </c>
      <c r="G252" t="s">
        <v>58</v>
      </c>
      <c r="H252" s="1">
        <v>28012.41</v>
      </c>
      <c r="I252" t="s">
        <v>291</v>
      </c>
      <c r="J252">
        <v>479</v>
      </c>
      <c r="K252">
        <v>14576</v>
      </c>
      <c r="L252">
        <v>31369</v>
      </c>
      <c r="M252" t="s">
        <v>292</v>
      </c>
      <c r="N252" t="s">
        <v>293</v>
      </c>
      <c r="O252" t="s">
        <v>294</v>
      </c>
      <c r="P252">
        <v>6926</v>
      </c>
      <c r="Q252">
        <v>5830</v>
      </c>
      <c r="R252" t="s">
        <v>65</v>
      </c>
    </row>
    <row r="253" spans="1:18" x14ac:dyDescent="0.2">
      <c r="A253" t="s">
        <v>424</v>
      </c>
      <c r="B253" t="s">
        <v>290</v>
      </c>
      <c r="C253" t="s">
        <v>290</v>
      </c>
      <c r="D253" t="s">
        <v>52</v>
      </c>
      <c r="E253" t="str">
        <f>"C34R1is"</f>
        <v>C34R1is</v>
      </c>
      <c r="F253" t="s">
        <v>67</v>
      </c>
      <c r="G253" t="s">
        <v>68</v>
      </c>
      <c r="H253" s="1">
        <v>20451.64</v>
      </c>
      <c r="I253" t="s">
        <v>296</v>
      </c>
      <c r="J253">
        <v>1443</v>
      </c>
      <c r="K253">
        <v>14576</v>
      </c>
      <c r="L253">
        <v>31369</v>
      </c>
      <c r="M253" t="s">
        <v>292</v>
      </c>
      <c r="N253" t="s">
        <v>293</v>
      </c>
      <c r="O253" t="s">
        <v>294</v>
      </c>
      <c r="P253">
        <v>6926</v>
      </c>
      <c r="Q253">
        <v>5830</v>
      </c>
      <c r="R253" t="s">
        <v>65</v>
      </c>
    </row>
    <row r="254" spans="1:18" x14ac:dyDescent="0.2">
      <c r="A254" t="s">
        <v>425</v>
      </c>
      <c r="B254" t="s">
        <v>290</v>
      </c>
      <c r="C254" t="s">
        <v>290</v>
      </c>
      <c r="D254" t="s">
        <v>52</v>
      </c>
      <c r="E254" t="str">
        <f>"C34R2g"</f>
        <v>C34R2g</v>
      </c>
      <c r="F254" t="s">
        <v>71</v>
      </c>
      <c r="G254" t="s">
        <v>72</v>
      </c>
      <c r="H254" s="1">
        <v>86119.75</v>
      </c>
      <c r="I254" t="s">
        <v>298</v>
      </c>
      <c r="J254">
        <v>1023</v>
      </c>
      <c r="K254">
        <v>16516</v>
      </c>
      <c r="L254">
        <v>28287</v>
      </c>
      <c r="M254" t="s">
        <v>292</v>
      </c>
      <c r="N254" t="s">
        <v>293</v>
      </c>
      <c r="O254" t="s">
        <v>294</v>
      </c>
      <c r="P254">
        <v>6926</v>
      </c>
      <c r="Q254">
        <v>5830</v>
      </c>
      <c r="R254" t="s">
        <v>65</v>
      </c>
    </row>
    <row r="255" spans="1:18" x14ac:dyDescent="0.2">
      <c r="A255" t="s">
        <v>426</v>
      </c>
      <c r="B255" t="s">
        <v>290</v>
      </c>
      <c r="C255" t="s">
        <v>290</v>
      </c>
      <c r="D255" t="s">
        <v>52</v>
      </c>
      <c r="E255" t="str">
        <f>"C34R3g"</f>
        <v>C34R3g</v>
      </c>
      <c r="F255" t="s">
        <v>71</v>
      </c>
      <c r="G255" t="s">
        <v>72</v>
      </c>
      <c r="H255" s="1">
        <v>92219.27</v>
      </c>
      <c r="I255" t="s">
        <v>298</v>
      </c>
      <c r="J255">
        <v>899</v>
      </c>
      <c r="K255">
        <v>18364</v>
      </c>
      <c r="L255">
        <v>29533</v>
      </c>
      <c r="M255" t="s">
        <v>292</v>
      </c>
      <c r="N255" t="s">
        <v>293</v>
      </c>
      <c r="O255" t="s">
        <v>294</v>
      </c>
      <c r="P255">
        <v>6926</v>
      </c>
      <c r="Q255">
        <v>5830</v>
      </c>
      <c r="R255" t="s">
        <v>65</v>
      </c>
    </row>
    <row r="256" spans="1:18" x14ac:dyDescent="0.2">
      <c r="A256" t="s">
        <v>427</v>
      </c>
      <c r="B256" t="s">
        <v>290</v>
      </c>
      <c r="C256" t="s">
        <v>290</v>
      </c>
      <c r="D256" t="s">
        <v>52</v>
      </c>
      <c r="E256" t="str">
        <f>"C35R1is"</f>
        <v>C35R1is</v>
      </c>
      <c r="F256" t="s">
        <v>57</v>
      </c>
      <c r="G256" t="s">
        <v>58</v>
      </c>
      <c r="H256" s="1">
        <v>33697.39</v>
      </c>
      <c r="I256" t="s">
        <v>291</v>
      </c>
      <c r="J256">
        <v>360</v>
      </c>
      <c r="K256">
        <v>17661</v>
      </c>
      <c r="L256">
        <v>20005</v>
      </c>
      <c r="M256" t="s">
        <v>292</v>
      </c>
      <c r="N256" t="s">
        <v>293</v>
      </c>
      <c r="O256" t="s">
        <v>294</v>
      </c>
      <c r="P256">
        <v>6926</v>
      </c>
      <c r="Q256">
        <v>5830</v>
      </c>
      <c r="R256" t="s">
        <v>65</v>
      </c>
    </row>
    <row r="257" spans="1:18" x14ac:dyDescent="0.2">
      <c r="A257" t="s">
        <v>428</v>
      </c>
      <c r="B257" t="s">
        <v>290</v>
      </c>
      <c r="C257" t="s">
        <v>290</v>
      </c>
      <c r="D257" t="s">
        <v>52</v>
      </c>
      <c r="E257" t="str">
        <f>"C35R1is"</f>
        <v>C35R1is</v>
      </c>
      <c r="F257" t="s">
        <v>67</v>
      </c>
      <c r="G257" t="s">
        <v>68</v>
      </c>
      <c r="H257" s="1">
        <v>4069.98</v>
      </c>
      <c r="I257" t="s">
        <v>296</v>
      </c>
      <c r="J257">
        <v>186</v>
      </c>
      <c r="K257">
        <v>17661</v>
      </c>
      <c r="L257">
        <v>20005</v>
      </c>
      <c r="M257" t="s">
        <v>292</v>
      </c>
      <c r="N257" t="s">
        <v>293</v>
      </c>
      <c r="O257" t="s">
        <v>294</v>
      </c>
      <c r="P257">
        <v>6926</v>
      </c>
      <c r="Q257">
        <v>5830</v>
      </c>
      <c r="R257" t="s">
        <v>65</v>
      </c>
    </row>
    <row r="258" spans="1:18" x14ac:dyDescent="0.2">
      <c r="A258" t="s">
        <v>429</v>
      </c>
      <c r="B258" t="s">
        <v>290</v>
      </c>
      <c r="C258" t="s">
        <v>290</v>
      </c>
      <c r="D258" t="s">
        <v>52</v>
      </c>
      <c r="E258" t="str">
        <f>"C35R2g"</f>
        <v>C35R2g</v>
      </c>
      <c r="F258" t="s">
        <v>71</v>
      </c>
      <c r="G258" t="s">
        <v>72</v>
      </c>
      <c r="H258" s="1">
        <v>170764.97</v>
      </c>
      <c r="I258" t="s">
        <v>298</v>
      </c>
      <c r="J258">
        <v>1039</v>
      </c>
      <c r="K258">
        <v>16807</v>
      </c>
      <c r="L258">
        <v>21523</v>
      </c>
      <c r="M258" t="s">
        <v>292</v>
      </c>
      <c r="N258" t="s">
        <v>293</v>
      </c>
      <c r="O258" t="s">
        <v>294</v>
      </c>
      <c r="P258">
        <v>6926</v>
      </c>
      <c r="Q258">
        <v>5830</v>
      </c>
      <c r="R258" t="s">
        <v>65</v>
      </c>
    </row>
    <row r="259" spans="1:18" x14ac:dyDescent="0.2">
      <c r="A259" t="s">
        <v>430</v>
      </c>
      <c r="B259" t="s">
        <v>290</v>
      </c>
      <c r="C259" t="s">
        <v>290</v>
      </c>
      <c r="D259" t="s">
        <v>52</v>
      </c>
      <c r="E259" t="str">
        <f>"C36R1is"</f>
        <v>C36R1is</v>
      </c>
      <c r="F259" t="s">
        <v>57</v>
      </c>
      <c r="G259" t="s">
        <v>58</v>
      </c>
      <c r="H259" s="1">
        <v>25009.61</v>
      </c>
      <c r="I259" t="s">
        <v>291</v>
      </c>
      <c r="J259">
        <v>328</v>
      </c>
      <c r="K259">
        <v>18595</v>
      </c>
      <c r="L259">
        <v>14201</v>
      </c>
      <c r="M259" t="s">
        <v>292</v>
      </c>
      <c r="N259" t="s">
        <v>293</v>
      </c>
      <c r="O259" t="s">
        <v>294</v>
      </c>
      <c r="P259">
        <v>6926</v>
      </c>
      <c r="Q259">
        <v>5830</v>
      </c>
      <c r="R259" t="s">
        <v>65</v>
      </c>
    </row>
    <row r="260" spans="1:18" x14ac:dyDescent="0.2">
      <c r="A260" t="s">
        <v>431</v>
      </c>
      <c r="B260" t="s">
        <v>290</v>
      </c>
      <c r="C260" t="s">
        <v>290</v>
      </c>
      <c r="D260" t="s">
        <v>52</v>
      </c>
      <c r="E260" t="str">
        <f>"C36R1is"</f>
        <v>C36R1is</v>
      </c>
      <c r="F260" t="s">
        <v>67</v>
      </c>
      <c r="G260" t="s">
        <v>68</v>
      </c>
      <c r="H260" s="1">
        <v>1643.64</v>
      </c>
      <c r="I260" t="s">
        <v>296</v>
      </c>
      <c r="J260">
        <v>82</v>
      </c>
      <c r="K260">
        <v>18595</v>
      </c>
      <c r="L260">
        <v>14201</v>
      </c>
      <c r="M260" t="s">
        <v>292</v>
      </c>
      <c r="N260" t="s">
        <v>293</v>
      </c>
      <c r="O260" t="s">
        <v>294</v>
      </c>
      <c r="P260">
        <v>6926</v>
      </c>
      <c r="Q260">
        <v>5830</v>
      </c>
      <c r="R260" t="s">
        <v>65</v>
      </c>
    </row>
    <row r="261" spans="1:18" x14ac:dyDescent="0.2">
      <c r="A261" t="s">
        <v>432</v>
      </c>
      <c r="B261" t="s">
        <v>290</v>
      </c>
      <c r="C261" t="s">
        <v>290</v>
      </c>
      <c r="D261" t="s">
        <v>52</v>
      </c>
      <c r="E261" t="str">
        <f>"C36R2g"</f>
        <v>C36R2g</v>
      </c>
      <c r="F261" t="s">
        <v>71</v>
      </c>
      <c r="G261" t="s">
        <v>72</v>
      </c>
      <c r="H261" s="1">
        <v>143550.78</v>
      </c>
      <c r="I261" t="s">
        <v>298</v>
      </c>
      <c r="J261">
        <v>938</v>
      </c>
      <c r="K261">
        <v>17412</v>
      </c>
      <c r="L261">
        <v>14810</v>
      </c>
      <c r="M261" t="s">
        <v>292</v>
      </c>
      <c r="N261" t="s">
        <v>293</v>
      </c>
      <c r="O261" t="s">
        <v>294</v>
      </c>
      <c r="P261">
        <v>6926</v>
      </c>
      <c r="Q261">
        <v>5830</v>
      </c>
      <c r="R261" t="s">
        <v>65</v>
      </c>
    </row>
    <row r="262" spans="1:18" x14ac:dyDescent="0.2">
      <c r="A262" t="s">
        <v>433</v>
      </c>
      <c r="B262" t="s">
        <v>290</v>
      </c>
      <c r="C262" t="s">
        <v>290</v>
      </c>
      <c r="D262" t="s">
        <v>52</v>
      </c>
      <c r="E262" t="str">
        <f>"C37R1is"</f>
        <v>C37R1is</v>
      </c>
      <c r="F262" t="s">
        <v>57</v>
      </c>
      <c r="G262" t="s">
        <v>58</v>
      </c>
      <c r="H262" s="1">
        <v>6866.71</v>
      </c>
      <c r="I262" t="s">
        <v>291</v>
      </c>
      <c r="J262">
        <v>97</v>
      </c>
      <c r="K262">
        <v>9863</v>
      </c>
      <c r="L262">
        <v>33596</v>
      </c>
      <c r="M262" t="s">
        <v>292</v>
      </c>
      <c r="N262" t="s">
        <v>293</v>
      </c>
      <c r="O262" t="s">
        <v>294</v>
      </c>
      <c r="P262">
        <v>6926</v>
      </c>
      <c r="Q262">
        <v>5830</v>
      </c>
      <c r="R262" t="s">
        <v>65</v>
      </c>
    </row>
    <row r="263" spans="1:18" x14ac:dyDescent="0.2">
      <c r="A263" t="s">
        <v>434</v>
      </c>
      <c r="B263" t="s">
        <v>290</v>
      </c>
      <c r="C263" t="s">
        <v>290</v>
      </c>
      <c r="D263" t="s">
        <v>52</v>
      </c>
      <c r="E263" t="str">
        <f>"C37R1is"</f>
        <v>C37R1is</v>
      </c>
      <c r="F263" t="s">
        <v>67</v>
      </c>
      <c r="G263" t="s">
        <v>68</v>
      </c>
      <c r="H263" s="1">
        <v>5391.38</v>
      </c>
      <c r="I263" t="s">
        <v>296</v>
      </c>
      <c r="J263">
        <v>307</v>
      </c>
      <c r="K263">
        <v>9863</v>
      </c>
      <c r="L263">
        <v>33596</v>
      </c>
      <c r="M263" t="s">
        <v>292</v>
      </c>
      <c r="N263" t="s">
        <v>293</v>
      </c>
      <c r="O263" t="s">
        <v>294</v>
      </c>
      <c r="P263">
        <v>6926</v>
      </c>
      <c r="Q263">
        <v>5830</v>
      </c>
      <c r="R263" t="s">
        <v>65</v>
      </c>
    </row>
    <row r="264" spans="1:18" x14ac:dyDescent="0.2">
      <c r="A264" t="s">
        <v>435</v>
      </c>
      <c r="B264" t="s">
        <v>290</v>
      </c>
      <c r="C264" t="s">
        <v>290</v>
      </c>
      <c r="D264" t="s">
        <v>52</v>
      </c>
      <c r="E264" t="str">
        <f>"C37R2g"</f>
        <v>C37R2g</v>
      </c>
      <c r="F264" t="s">
        <v>71</v>
      </c>
      <c r="G264" t="s">
        <v>72</v>
      </c>
      <c r="H264" s="1">
        <v>66851.59</v>
      </c>
      <c r="I264" t="s">
        <v>298</v>
      </c>
      <c r="J264">
        <v>498</v>
      </c>
      <c r="K264">
        <v>11447</v>
      </c>
      <c r="L264">
        <v>34527</v>
      </c>
      <c r="M264" t="s">
        <v>292</v>
      </c>
      <c r="N264" t="s">
        <v>293</v>
      </c>
      <c r="O264" t="s">
        <v>294</v>
      </c>
      <c r="P264">
        <v>6926</v>
      </c>
      <c r="Q264">
        <v>5830</v>
      </c>
      <c r="R264" t="s">
        <v>65</v>
      </c>
    </row>
    <row r="265" spans="1:18" x14ac:dyDescent="0.2">
      <c r="A265" t="s">
        <v>436</v>
      </c>
      <c r="B265" t="s">
        <v>290</v>
      </c>
      <c r="C265" t="s">
        <v>290</v>
      </c>
      <c r="D265" t="s">
        <v>52</v>
      </c>
      <c r="E265" t="str">
        <f>"C38R1is"</f>
        <v>C38R1is</v>
      </c>
      <c r="F265" t="s">
        <v>57</v>
      </c>
      <c r="G265" t="s">
        <v>58</v>
      </c>
      <c r="H265" s="1">
        <v>26530.37</v>
      </c>
      <c r="I265" t="s">
        <v>291</v>
      </c>
      <c r="J265">
        <v>326</v>
      </c>
      <c r="K265">
        <v>11484</v>
      </c>
      <c r="L265">
        <v>26408</v>
      </c>
      <c r="M265" t="s">
        <v>292</v>
      </c>
      <c r="N265" t="s">
        <v>293</v>
      </c>
      <c r="O265" t="s">
        <v>294</v>
      </c>
      <c r="P265">
        <v>6926</v>
      </c>
      <c r="Q265">
        <v>5830</v>
      </c>
      <c r="R265" t="s">
        <v>65</v>
      </c>
    </row>
    <row r="266" spans="1:18" x14ac:dyDescent="0.2">
      <c r="A266" t="s">
        <v>437</v>
      </c>
      <c r="B266" t="s">
        <v>290</v>
      </c>
      <c r="C266" t="s">
        <v>290</v>
      </c>
      <c r="D266" t="s">
        <v>52</v>
      </c>
      <c r="E266" t="str">
        <f>"C38R1is"</f>
        <v>C38R1is</v>
      </c>
      <c r="F266" t="s">
        <v>67</v>
      </c>
      <c r="G266" t="s">
        <v>68</v>
      </c>
      <c r="H266" s="1">
        <v>11661.47</v>
      </c>
      <c r="I266" t="s">
        <v>296</v>
      </c>
      <c r="J266">
        <v>382</v>
      </c>
      <c r="K266">
        <v>11484</v>
      </c>
      <c r="L266">
        <v>26408</v>
      </c>
      <c r="M266" t="s">
        <v>292</v>
      </c>
      <c r="N266" t="s">
        <v>293</v>
      </c>
      <c r="O266" t="s">
        <v>294</v>
      </c>
      <c r="P266">
        <v>6926</v>
      </c>
      <c r="Q266">
        <v>5830</v>
      </c>
      <c r="R266" t="s">
        <v>65</v>
      </c>
    </row>
    <row r="267" spans="1:18" x14ac:dyDescent="0.2">
      <c r="A267" t="s">
        <v>438</v>
      </c>
      <c r="B267" t="s">
        <v>290</v>
      </c>
      <c r="C267" t="s">
        <v>290</v>
      </c>
      <c r="D267" t="s">
        <v>52</v>
      </c>
      <c r="E267" t="str">
        <f>"C38R2g"</f>
        <v>C38R2g</v>
      </c>
      <c r="F267" t="s">
        <v>71</v>
      </c>
      <c r="G267" t="s">
        <v>72</v>
      </c>
      <c r="H267" s="1">
        <v>39728.44</v>
      </c>
      <c r="I267" t="s">
        <v>298</v>
      </c>
      <c r="J267">
        <v>456</v>
      </c>
      <c r="K267">
        <v>12880</v>
      </c>
      <c r="L267">
        <v>26667</v>
      </c>
      <c r="M267" t="s">
        <v>292</v>
      </c>
      <c r="N267" t="s">
        <v>293</v>
      </c>
      <c r="O267" t="s">
        <v>294</v>
      </c>
      <c r="P267">
        <v>6926</v>
      </c>
      <c r="Q267">
        <v>5830</v>
      </c>
      <c r="R267" t="s">
        <v>65</v>
      </c>
    </row>
    <row r="268" spans="1:18" x14ac:dyDescent="0.2">
      <c r="A268" t="s">
        <v>439</v>
      </c>
      <c r="B268" t="s">
        <v>290</v>
      </c>
      <c r="C268" t="s">
        <v>290</v>
      </c>
      <c r="D268" t="s">
        <v>52</v>
      </c>
      <c r="E268" t="str">
        <f>"C39R1g"</f>
        <v>C39R1g</v>
      </c>
      <c r="F268" t="s">
        <v>71</v>
      </c>
      <c r="G268" t="s">
        <v>72</v>
      </c>
      <c r="H268" s="1">
        <v>105530.46</v>
      </c>
      <c r="I268" t="s">
        <v>298</v>
      </c>
      <c r="J268">
        <v>1499</v>
      </c>
      <c r="K268">
        <v>11521</v>
      </c>
      <c r="L268">
        <v>21316</v>
      </c>
      <c r="M268" t="s">
        <v>292</v>
      </c>
      <c r="N268" t="s">
        <v>293</v>
      </c>
      <c r="O268" t="s">
        <v>294</v>
      </c>
      <c r="P268">
        <v>6926</v>
      </c>
      <c r="Q268">
        <v>5830</v>
      </c>
      <c r="R268" t="s">
        <v>65</v>
      </c>
    </row>
    <row r="269" spans="1:18" x14ac:dyDescent="0.2">
      <c r="A269" t="s">
        <v>440</v>
      </c>
      <c r="B269" t="s">
        <v>290</v>
      </c>
      <c r="C269" t="s">
        <v>290</v>
      </c>
      <c r="D269" t="s">
        <v>52</v>
      </c>
      <c r="E269" t="str">
        <f>"C39R2g"</f>
        <v>C39R2g</v>
      </c>
      <c r="F269" t="s">
        <v>71</v>
      </c>
      <c r="G269" t="s">
        <v>72</v>
      </c>
      <c r="H269" s="1">
        <v>126378.09</v>
      </c>
      <c r="I269" t="s">
        <v>298</v>
      </c>
      <c r="J269">
        <v>1833</v>
      </c>
      <c r="K269">
        <v>12404</v>
      </c>
      <c r="L269">
        <v>21601</v>
      </c>
      <c r="M269" t="s">
        <v>292</v>
      </c>
      <c r="N269" t="s">
        <v>293</v>
      </c>
      <c r="O269" t="s">
        <v>294</v>
      </c>
      <c r="P269">
        <v>6926</v>
      </c>
      <c r="Q269">
        <v>5830</v>
      </c>
      <c r="R269" t="s">
        <v>65</v>
      </c>
    </row>
    <row r="270" spans="1:18" x14ac:dyDescent="0.2">
      <c r="A270" t="s">
        <v>441</v>
      </c>
      <c r="B270" t="s">
        <v>290</v>
      </c>
      <c r="C270" t="s">
        <v>290</v>
      </c>
      <c r="D270" t="s">
        <v>52</v>
      </c>
      <c r="E270" t="str">
        <f>"C40R1g"</f>
        <v>C40R1g</v>
      </c>
      <c r="F270" t="s">
        <v>71</v>
      </c>
      <c r="G270" t="s">
        <v>72</v>
      </c>
      <c r="H270" s="1">
        <v>142487.76999999999</v>
      </c>
      <c r="I270" t="s">
        <v>298</v>
      </c>
      <c r="J270">
        <v>2058</v>
      </c>
      <c r="K270">
        <v>10924</v>
      </c>
      <c r="L270">
        <v>15286</v>
      </c>
      <c r="M270" t="s">
        <v>292</v>
      </c>
      <c r="N270" t="s">
        <v>293</v>
      </c>
      <c r="O270" t="s">
        <v>294</v>
      </c>
      <c r="P270">
        <v>6926</v>
      </c>
      <c r="Q270">
        <v>5830</v>
      </c>
      <c r="R270" t="s">
        <v>65</v>
      </c>
    </row>
    <row r="271" spans="1:18" x14ac:dyDescent="0.2">
      <c r="A271" t="s">
        <v>442</v>
      </c>
      <c r="B271" t="s">
        <v>290</v>
      </c>
      <c r="C271" t="s">
        <v>290</v>
      </c>
      <c r="D271" t="s">
        <v>52</v>
      </c>
      <c r="E271" t="str">
        <f>"C40R2is"</f>
        <v>C40R2is</v>
      </c>
      <c r="F271" t="s">
        <v>57</v>
      </c>
      <c r="G271" t="s">
        <v>58</v>
      </c>
      <c r="H271" s="1">
        <v>15967.6</v>
      </c>
      <c r="I271" t="s">
        <v>291</v>
      </c>
      <c r="J271">
        <v>210</v>
      </c>
      <c r="K271">
        <v>12153</v>
      </c>
      <c r="L271">
        <v>15619</v>
      </c>
      <c r="M271" t="s">
        <v>292</v>
      </c>
      <c r="N271" t="s">
        <v>293</v>
      </c>
      <c r="O271" t="s">
        <v>294</v>
      </c>
      <c r="P271">
        <v>6926</v>
      </c>
      <c r="Q271">
        <v>5830</v>
      </c>
      <c r="R271" t="s">
        <v>65</v>
      </c>
    </row>
    <row r="272" spans="1:18" x14ac:dyDescent="0.2">
      <c r="A272" t="s">
        <v>443</v>
      </c>
      <c r="B272" t="s">
        <v>290</v>
      </c>
      <c r="C272" t="s">
        <v>290</v>
      </c>
      <c r="D272" t="s">
        <v>52</v>
      </c>
      <c r="E272" t="str">
        <f>"C40R2is"</f>
        <v>C40R2is</v>
      </c>
      <c r="F272" t="s">
        <v>67</v>
      </c>
      <c r="G272" t="s">
        <v>68</v>
      </c>
      <c r="H272" s="1">
        <v>19938.38</v>
      </c>
      <c r="I272" t="s">
        <v>296</v>
      </c>
      <c r="J272">
        <v>1481</v>
      </c>
      <c r="K272">
        <v>12153</v>
      </c>
      <c r="L272">
        <v>15619</v>
      </c>
      <c r="M272" t="s">
        <v>292</v>
      </c>
      <c r="N272" t="s">
        <v>293</v>
      </c>
      <c r="O272" t="s">
        <v>294</v>
      </c>
      <c r="P272">
        <v>6926</v>
      </c>
      <c r="Q272">
        <v>5830</v>
      </c>
      <c r="R272" t="s">
        <v>65</v>
      </c>
    </row>
    <row r="273" spans="1:18" x14ac:dyDescent="0.2">
      <c r="A273" t="s">
        <v>444</v>
      </c>
      <c r="B273" t="s">
        <v>290</v>
      </c>
      <c r="C273" t="s">
        <v>290</v>
      </c>
      <c r="D273" t="s">
        <v>52</v>
      </c>
      <c r="E273" t="str">
        <f>"C40R3is"</f>
        <v>C40R3is</v>
      </c>
      <c r="F273" t="s">
        <v>57</v>
      </c>
      <c r="G273" t="s">
        <v>58</v>
      </c>
      <c r="H273" s="1">
        <v>16226.47</v>
      </c>
      <c r="I273" t="s">
        <v>291</v>
      </c>
      <c r="J273">
        <v>192</v>
      </c>
      <c r="K273">
        <v>13172</v>
      </c>
      <c r="L273">
        <v>14444</v>
      </c>
      <c r="M273" t="s">
        <v>292</v>
      </c>
      <c r="N273" t="s">
        <v>293</v>
      </c>
      <c r="O273" t="s">
        <v>294</v>
      </c>
      <c r="P273">
        <v>6926</v>
      </c>
      <c r="Q273">
        <v>5830</v>
      </c>
      <c r="R273" t="s">
        <v>65</v>
      </c>
    </row>
    <row r="274" spans="1:18" x14ac:dyDescent="0.2">
      <c r="A274" t="s">
        <v>445</v>
      </c>
      <c r="B274" t="s">
        <v>290</v>
      </c>
      <c r="C274" t="s">
        <v>290</v>
      </c>
      <c r="D274" t="s">
        <v>52</v>
      </c>
      <c r="E274" t="str">
        <f>"C40R3is"</f>
        <v>C40R3is</v>
      </c>
      <c r="F274" t="s">
        <v>67</v>
      </c>
      <c r="G274" t="s">
        <v>68</v>
      </c>
      <c r="H274" s="1">
        <v>32699.34</v>
      </c>
      <c r="I274" t="s">
        <v>296</v>
      </c>
      <c r="J274">
        <v>2506</v>
      </c>
      <c r="K274">
        <v>13172</v>
      </c>
      <c r="L274">
        <v>14444</v>
      </c>
      <c r="M274" t="s">
        <v>292</v>
      </c>
      <c r="N274" t="s">
        <v>293</v>
      </c>
      <c r="O274" t="s">
        <v>294</v>
      </c>
      <c r="P274">
        <v>6926</v>
      </c>
      <c r="Q274">
        <v>5830</v>
      </c>
      <c r="R274" t="s">
        <v>65</v>
      </c>
    </row>
    <row r="275" spans="1:18" x14ac:dyDescent="0.2">
      <c r="A275" t="s">
        <v>446</v>
      </c>
      <c r="B275" t="s">
        <v>447</v>
      </c>
      <c r="C275" t="s">
        <v>447</v>
      </c>
      <c r="D275" t="s">
        <v>52</v>
      </c>
      <c r="E275" t="str">
        <f>"C01R1is"</f>
        <v>C01R1is</v>
      </c>
      <c r="F275" t="s">
        <v>57</v>
      </c>
      <c r="G275" t="s">
        <v>58</v>
      </c>
      <c r="H275" s="1">
        <v>14512.91</v>
      </c>
      <c r="I275" t="s">
        <v>291</v>
      </c>
      <c r="J275">
        <v>58</v>
      </c>
      <c r="K275">
        <v>70234</v>
      </c>
      <c r="L275">
        <v>33265</v>
      </c>
      <c r="M275" t="s">
        <v>448</v>
      </c>
      <c r="N275" t="s">
        <v>449</v>
      </c>
      <c r="O275" t="s">
        <v>450</v>
      </c>
      <c r="P275">
        <v>7774</v>
      </c>
      <c r="Q275">
        <v>4915</v>
      </c>
      <c r="R275" t="s">
        <v>65</v>
      </c>
    </row>
    <row r="276" spans="1:18" x14ac:dyDescent="0.2">
      <c r="A276" t="s">
        <v>451</v>
      </c>
      <c r="B276" t="s">
        <v>447</v>
      </c>
      <c r="C276" t="s">
        <v>447</v>
      </c>
      <c r="D276" t="s">
        <v>52</v>
      </c>
      <c r="E276" t="str">
        <f>"C01R1is"</f>
        <v>C01R1is</v>
      </c>
      <c r="F276" t="s">
        <v>67</v>
      </c>
      <c r="G276" t="s">
        <v>68</v>
      </c>
      <c r="H276" s="1">
        <v>20930.03</v>
      </c>
      <c r="I276" t="s">
        <v>296</v>
      </c>
      <c r="J276">
        <v>655</v>
      </c>
      <c r="K276">
        <v>70234</v>
      </c>
      <c r="L276">
        <v>33265</v>
      </c>
      <c r="M276" t="s">
        <v>448</v>
      </c>
      <c r="N276" t="s">
        <v>449</v>
      </c>
      <c r="O276" t="s">
        <v>450</v>
      </c>
      <c r="P276">
        <v>7774</v>
      </c>
      <c r="Q276">
        <v>4915</v>
      </c>
      <c r="R276" t="s">
        <v>65</v>
      </c>
    </row>
    <row r="277" spans="1:18" x14ac:dyDescent="0.2">
      <c r="A277" t="s">
        <v>452</v>
      </c>
      <c r="B277" t="s">
        <v>447</v>
      </c>
      <c r="C277" t="s">
        <v>447</v>
      </c>
      <c r="D277" t="s">
        <v>52</v>
      </c>
      <c r="E277" t="str">
        <f>"C01R2is"</f>
        <v>C01R2is</v>
      </c>
      <c r="F277" t="s">
        <v>57</v>
      </c>
      <c r="G277" t="s">
        <v>58</v>
      </c>
      <c r="H277" s="1">
        <v>7639.33</v>
      </c>
      <c r="I277" t="s">
        <v>291</v>
      </c>
      <c r="J277">
        <v>33</v>
      </c>
      <c r="K277">
        <v>68887</v>
      </c>
      <c r="L277">
        <v>33904</v>
      </c>
      <c r="M277" t="s">
        <v>448</v>
      </c>
      <c r="N277" t="s">
        <v>449</v>
      </c>
      <c r="O277" t="s">
        <v>450</v>
      </c>
      <c r="P277">
        <v>7774</v>
      </c>
      <c r="Q277">
        <v>4915</v>
      </c>
      <c r="R277" t="s">
        <v>65</v>
      </c>
    </row>
    <row r="278" spans="1:18" x14ac:dyDescent="0.2">
      <c r="A278" t="s">
        <v>453</v>
      </c>
      <c r="B278" t="s">
        <v>447</v>
      </c>
      <c r="C278" t="s">
        <v>447</v>
      </c>
      <c r="D278" t="s">
        <v>52</v>
      </c>
      <c r="E278" t="str">
        <f>"C01R2is"</f>
        <v>C01R2is</v>
      </c>
      <c r="F278" t="s">
        <v>67</v>
      </c>
      <c r="G278" t="s">
        <v>68</v>
      </c>
      <c r="H278" s="1">
        <v>21217.54</v>
      </c>
      <c r="I278" t="s">
        <v>296</v>
      </c>
      <c r="J278">
        <v>969</v>
      </c>
      <c r="K278">
        <v>68887</v>
      </c>
      <c r="L278">
        <v>33904</v>
      </c>
      <c r="M278" t="s">
        <v>448</v>
      </c>
      <c r="N278" t="s">
        <v>449</v>
      </c>
      <c r="O278" t="s">
        <v>450</v>
      </c>
      <c r="P278">
        <v>7774</v>
      </c>
      <c r="Q278">
        <v>4915</v>
      </c>
      <c r="R278" t="s">
        <v>65</v>
      </c>
    </row>
    <row r="279" spans="1:18" x14ac:dyDescent="0.2">
      <c r="A279" t="s">
        <v>454</v>
      </c>
      <c r="B279" t="s">
        <v>447</v>
      </c>
      <c r="C279" t="s">
        <v>447</v>
      </c>
      <c r="D279" t="s">
        <v>52</v>
      </c>
      <c r="E279" t="str">
        <f>"C01R3ig"</f>
        <v>C01R3ig</v>
      </c>
      <c r="F279" t="s">
        <v>57</v>
      </c>
      <c r="G279" t="s">
        <v>58</v>
      </c>
      <c r="H279" s="1">
        <v>14039.17</v>
      </c>
      <c r="I279" t="s">
        <v>363</v>
      </c>
      <c r="J279">
        <v>102</v>
      </c>
      <c r="K279">
        <v>71236</v>
      </c>
      <c r="L279">
        <v>31471</v>
      </c>
      <c r="M279" t="s">
        <v>448</v>
      </c>
      <c r="N279" t="s">
        <v>449</v>
      </c>
      <c r="O279" t="s">
        <v>450</v>
      </c>
      <c r="P279">
        <v>7774</v>
      </c>
      <c r="Q279">
        <v>4915</v>
      </c>
      <c r="R279" t="s">
        <v>65</v>
      </c>
    </row>
    <row r="280" spans="1:18" x14ac:dyDescent="0.2">
      <c r="A280" t="s">
        <v>455</v>
      </c>
      <c r="B280" t="s">
        <v>447</v>
      </c>
      <c r="C280" t="s">
        <v>447</v>
      </c>
      <c r="D280" t="s">
        <v>52</v>
      </c>
      <c r="E280" t="str">
        <f>"C01R3ig"</f>
        <v>C01R3ig</v>
      </c>
      <c r="F280" t="s">
        <v>71</v>
      </c>
      <c r="G280" t="s">
        <v>72</v>
      </c>
      <c r="H280" s="1">
        <v>132582.57999999999</v>
      </c>
      <c r="I280" t="s">
        <v>298</v>
      </c>
      <c r="J280">
        <v>1071</v>
      </c>
      <c r="K280">
        <v>71236</v>
      </c>
      <c r="L280">
        <v>31471</v>
      </c>
      <c r="M280" t="s">
        <v>448</v>
      </c>
      <c r="N280" t="s">
        <v>449</v>
      </c>
      <c r="O280" t="s">
        <v>450</v>
      </c>
      <c r="P280">
        <v>7774</v>
      </c>
      <c r="Q280">
        <v>4915</v>
      </c>
      <c r="R280" t="s">
        <v>65</v>
      </c>
    </row>
    <row r="281" spans="1:18" x14ac:dyDescent="0.2">
      <c r="A281" t="s">
        <v>456</v>
      </c>
      <c r="B281" t="s">
        <v>447</v>
      </c>
      <c r="C281" t="s">
        <v>447</v>
      </c>
      <c r="D281" t="s">
        <v>52</v>
      </c>
      <c r="E281" t="str">
        <f>"C01R4ig"</f>
        <v>C01R4ig</v>
      </c>
      <c r="F281" t="s">
        <v>57</v>
      </c>
      <c r="G281" t="s">
        <v>58</v>
      </c>
      <c r="H281" s="1">
        <v>13909.73</v>
      </c>
      <c r="I281" t="s">
        <v>363</v>
      </c>
      <c r="J281">
        <v>119</v>
      </c>
      <c r="K281">
        <v>70790</v>
      </c>
      <c r="L281">
        <v>34993</v>
      </c>
      <c r="M281" t="s">
        <v>448</v>
      </c>
      <c r="N281" t="s">
        <v>449</v>
      </c>
      <c r="O281" t="s">
        <v>450</v>
      </c>
      <c r="P281">
        <v>7774</v>
      </c>
      <c r="Q281">
        <v>4915</v>
      </c>
      <c r="R281" t="s">
        <v>65</v>
      </c>
    </row>
    <row r="282" spans="1:18" x14ac:dyDescent="0.2">
      <c r="A282" t="s">
        <v>457</v>
      </c>
      <c r="B282" t="s">
        <v>447</v>
      </c>
      <c r="C282" t="s">
        <v>447</v>
      </c>
      <c r="D282" t="s">
        <v>52</v>
      </c>
      <c r="E282" t="str">
        <f>"C01R4ig"</f>
        <v>C01R4ig</v>
      </c>
      <c r="F282" t="s">
        <v>71</v>
      </c>
      <c r="G282" t="s">
        <v>72</v>
      </c>
      <c r="H282" s="1">
        <v>194844.37</v>
      </c>
      <c r="I282" t="s">
        <v>298</v>
      </c>
      <c r="J282">
        <v>1453</v>
      </c>
      <c r="K282">
        <v>70790</v>
      </c>
      <c r="L282">
        <v>34993</v>
      </c>
      <c r="M282" t="s">
        <v>448</v>
      </c>
      <c r="N282" t="s">
        <v>449</v>
      </c>
      <c r="O282" t="s">
        <v>450</v>
      </c>
      <c r="P282">
        <v>7774</v>
      </c>
      <c r="Q282">
        <v>4915</v>
      </c>
      <c r="R282" t="s">
        <v>65</v>
      </c>
    </row>
    <row r="283" spans="1:18" x14ac:dyDescent="0.2">
      <c r="A283" t="s">
        <v>458</v>
      </c>
      <c r="B283" t="s">
        <v>447</v>
      </c>
      <c r="C283" t="s">
        <v>447</v>
      </c>
      <c r="D283" t="s">
        <v>52</v>
      </c>
      <c r="E283" t="str">
        <f>"C03R1is"</f>
        <v>C03R1is</v>
      </c>
      <c r="F283" t="s">
        <v>57</v>
      </c>
      <c r="G283" t="s">
        <v>58</v>
      </c>
      <c r="H283" s="1">
        <v>23720.04</v>
      </c>
      <c r="I283" t="s">
        <v>291</v>
      </c>
      <c r="J283">
        <v>199</v>
      </c>
      <c r="K283">
        <v>70167</v>
      </c>
      <c r="L283">
        <v>23156</v>
      </c>
      <c r="M283" t="s">
        <v>448</v>
      </c>
      <c r="N283" t="s">
        <v>449</v>
      </c>
      <c r="O283" t="s">
        <v>450</v>
      </c>
      <c r="P283">
        <v>7774</v>
      </c>
      <c r="Q283">
        <v>4915</v>
      </c>
      <c r="R283" t="s">
        <v>65</v>
      </c>
    </row>
    <row r="284" spans="1:18" x14ac:dyDescent="0.2">
      <c r="A284" t="s">
        <v>459</v>
      </c>
      <c r="B284" t="s">
        <v>447</v>
      </c>
      <c r="C284" t="s">
        <v>447</v>
      </c>
      <c r="D284" t="s">
        <v>52</v>
      </c>
      <c r="E284" t="str">
        <f>"C03R1is"</f>
        <v>C03R1is</v>
      </c>
      <c r="F284" t="s">
        <v>67</v>
      </c>
      <c r="G284" t="s">
        <v>68</v>
      </c>
      <c r="H284" s="1">
        <v>24421.94</v>
      </c>
      <c r="I284" t="s">
        <v>296</v>
      </c>
      <c r="J284">
        <v>1439</v>
      </c>
      <c r="K284">
        <v>70167</v>
      </c>
      <c r="L284">
        <v>23156</v>
      </c>
      <c r="M284" t="s">
        <v>448</v>
      </c>
      <c r="N284" t="s">
        <v>449</v>
      </c>
      <c r="O284" t="s">
        <v>450</v>
      </c>
      <c r="P284">
        <v>7774</v>
      </c>
      <c r="Q284">
        <v>4915</v>
      </c>
      <c r="R284" t="s">
        <v>65</v>
      </c>
    </row>
    <row r="285" spans="1:18" x14ac:dyDescent="0.2">
      <c r="A285" t="s">
        <v>460</v>
      </c>
      <c r="B285" t="s">
        <v>447</v>
      </c>
      <c r="C285" t="s">
        <v>447</v>
      </c>
      <c r="D285" t="s">
        <v>52</v>
      </c>
      <c r="E285" t="str">
        <f>"C03R2g"</f>
        <v>C03R2g</v>
      </c>
      <c r="F285" t="s">
        <v>71</v>
      </c>
      <c r="G285" t="s">
        <v>72</v>
      </c>
      <c r="H285" s="1">
        <v>169908.19</v>
      </c>
      <c r="I285" t="s">
        <v>298</v>
      </c>
      <c r="J285">
        <v>1149</v>
      </c>
      <c r="K285">
        <v>72601</v>
      </c>
      <c r="L285">
        <v>20991</v>
      </c>
      <c r="M285" t="s">
        <v>448</v>
      </c>
      <c r="N285" t="s">
        <v>449</v>
      </c>
      <c r="O285" t="s">
        <v>450</v>
      </c>
      <c r="P285">
        <v>7774</v>
      </c>
      <c r="Q285">
        <v>4915</v>
      </c>
      <c r="R285" t="s">
        <v>65</v>
      </c>
    </row>
    <row r="286" spans="1:18" x14ac:dyDescent="0.2">
      <c r="A286" t="s">
        <v>461</v>
      </c>
      <c r="B286" t="s">
        <v>447</v>
      </c>
      <c r="C286" t="s">
        <v>447</v>
      </c>
      <c r="D286" t="s">
        <v>52</v>
      </c>
      <c r="E286" t="str">
        <f>"C04R1is"</f>
        <v>C04R1is</v>
      </c>
      <c r="F286" t="s">
        <v>57</v>
      </c>
      <c r="G286" t="s">
        <v>58</v>
      </c>
      <c r="H286" s="1">
        <v>28617.040000000001</v>
      </c>
      <c r="I286" t="s">
        <v>291</v>
      </c>
      <c r="J286">
        <v>127</v>
      </c>
      <c r="K286">
        <v>69921</v>
      </c>
      <c r="L286">
        <v>15069</v>
      </c>
      <c r="M286" t="s">
        <v>448</v>
      </c>
      <c r="N286" t="s">
        <v>449</v>
      </c>
      <c r="O286" t="s">
        <v>450</v>
      </c>
      <c r="P286">
        <v>7774</v>
      </c>
      <c r="Q286">
        <v>4915</v>
      </c>
      <c r="R286" t="s">
        <v>65</v>
      </c>
    </row>
    <row r="287" spans="1:18" x14ac:dyDescent="0.2">
      <c r="A287" t="s">
        <v>462</v>
      </c>
      <c r="B287" t="s">
        <v>447</v>
      </c>
      <c r="C287" t="s">
        <v>447</v>
      </c>
      <c r="D287" t="s">
        <v>52</v>
      </c>
      <c r="E287" t="str">
        <f>"C04R1is"</f>
        <v>C04R1is</v>
      </c>
      <c r="F287" t="s">
        <v>67</v>
      </c>
      <c r="G287" t="s">
        <v>68</v>
      </c>
      <c r="H287" s="1">
        <v>19466.87</v>
      </c>
      <c r="I287" t="s">
        <v>296</v>
      </c>
      <c r="J287">
        <v>415</v>
      </c>
      <c r="K287">
        <v>69921</v>
      </c>
      <c r="L287">
        <v>15069</v>
      </c>
      <c r="M287" t="s">
        <v>448</v>
      </c>
      <c r="N287" t="s">
        <v>449</v>
      </c>
      <c r="O287" t="s">
        <v>450</v>
      </c>
      <c r="P287">
        <v>7774</v>
      </c>
      <c r="Q287">
        <v>4915</v>
      </c>
      <c r="R287" t="s">
        <v>65</v>
      </c>
    </row>
    <row r="288" spans="1:18" x14ac:dyDescent="0.2">
      <c r="A288" t="s">
        <v>463</v>
      </c>
      <c r="B288" t="s">
        <v>447</v>
      </c>
      <c r="C288" t="s">
        <v>447</v>
      </c>
      <c r="D288" t="s">
        <v>52</v>
      </c>
      <c r="E288" t="str">
        <f>"C04R2g"</f>
        <v>C04R2g</v>
      </c>
      <c r="F288" t="s">
        <v>71</v>
      </c>
      <c r="G288" t="s">
        <v>72</v>
      </c>
      <c r="H288" s="1">
        <v>142838.32</v>
      </c>
      <c r="I288" t="s">
        <v>298</v>
      </c>
      <c r="J288">
        <v>1164</v>
      </c>
      <c r="K288">
        <v>68681</v>
      </c>
      <c r="L288">
        <v>13402</v>
      </c>
      <c r="M288" t="s">
        <v>448</v>
      </c>
      <c r="N288" t="s">
        <v>449</v>
      </c>
      <c r="O288" t="s">
        <v>450</v>
      </c>
      <c r="P288">
        <v>7774</v>
      </c>
      <c r="Q288">
        <v>4915</v>
      </c>
      <c r="R288" t="s">
        <v>65</v>
      </c>
    </row>
    <row r="289" spans="1:18" x14ac:dyDescent="0.2">
      <c r="A289" t="s">
        <v>464</v>
      </c>
      <c r="B289" t="s">
        <v>447</v>
      </c>
      <c r="C289" t="s">
        <v>447</v>
      </c>
      <c r="D289" t="s">
        <v>52</v>
      </c>
      <c r="E289" t="str">
        <f>"C05R1is"</f>
        <v>C05R1is</v>
      </c>
      <c r="F289" t="s">
        <v>57</v>
      </c>
      <c r="G289" t="s">
        <v>58</v>
      </c>
      <c r="H289" s="1">
        <v>14311.16</v>
      </c>
      <c r="I289" t="s">
        <v>291</v>
      </c>
      <c r="J289">
        <v>215</v>
      </c>
      <c r="K289">
        <v>64300</v>
      </c>
      <c r="L289">
        <v>31881</v>
      </c>
      <c r="M289" t="s">
        <v>448</v>
      </c>
      <c r="N289" t="s">
        <v>449</v>
      </c>
      <c r="O289" t="s">
        <v>450</v>
      </c>
      <c r="P289">
        <v>7774</v>
      </c>
      <c r="Q289">
        <v>4915</v>
      </c>
      <c r="R289" t="s">
        <v>65</v>
      </c>
    </row>
    <row r="290" spans="1:18" x14ac:dyDescent="0.2">
      <c r="A290" t="s">
        <v>465</v>
      </c>
      <c r="B290" t="s">
        <v>447</v>
      </c>
      <c r="C290" t="s">
        <v>447</v>
      </c>
      <c r="D290" t="s">
        <v>52</v>
      </c>
      <c r="E290" t="str">
        <f>"C05R1is"</f>
        <v>C05R1is</v>
      </c>
      <c r="F290" t="s">
        <v>67</v>
      </c>
      <c r="G290" t="s">
        <v>68</v>
      </c>
      <c r="H290" s="1">
        <v>27531.47</v>
      </c>
      <c r="I290" t="s">
        <v>296</v>
      </c>
      <c r="J290">
        <v>1744</v>
      </c>
      <c r="K290">
        <v>64300</v>
      </c>
      <c r="L290">
        <v>31881</v>
      </c>
      <c r="M290" t="s">
        <v>448</v>
      </c>
      <c r="N290" t="s">
        <v>449</v>
      </c>
      <c r="O290" t="s">
        <v>450</v>
      </c>
      <c r="P290">
        <v>7774</v>
      </c>
      <c r="Q290">
        <v>4915</v>
      </c>
      <c r="R290" t="s">
        <v>65</v>
      </c>
    </row>
    <row r="291" spans="1:18" x14ac:dyDescent="0.2">
      <c r="A291" t="s">
        <v>466</v>
      </c>
      <c r="B291" t="s">
        <v>447</v>
      </c>
      <c r="C291" t="s">
        <v>447</v>
      </c>
      <c r="D291" t="s">
        <v>52</v>
      </c>
      <c r="E291" t="str">
        <f>"C05R2g"</f>
        <v>C05R2g</v>
      </c>
      <c r="F291" t="s">
        <v>71</v>
      </c>
      <c r="G291" t="s">
        <v>72</v>
      </c>
      <c r="H291" s="1">
        <v>88044.66</v>
      </c>
      <c r="I291" t="s">
        <v>298</v>
      </c>
      <c r="J291">
        <v>1489</v>
      </c>
      <c r="K291">
        <v>65847</v>
      </c>
      <c r="L291">
        <v>31793</v>
      </c>
      <c r="M291" t="s">
        <v>448</v>
      </c>
      <c r="N291" t="s">
        <v>449</v>
      </c>
      <c r="O291" t="s">
        <v>450</v>
      </c>
      <c r="P291">
        <v>7774</v>
      </c>
      <c r="Q291">
        <v>4915</v>
      </c>
      <c r="R291" t="s">
        <v>65</v>
      </c>
    </row>
    <row r="292" spans="1:18" x14ac:dyDescent="0.2">
      <c r="A292" t="s">
        <v>467</v>
      </c>
      <c r="B292" t="s">
        <v>447</v>
      </c>
      <c r="C292" t="s">
        <v>447</v>
      </c>
      <c r="D292" t="s">
        <v>52</v>
      </c>
      <c r="E292" t="str">
        <f>"C07R1is"</f>
        <v>C07R1is</v>
      </c>
      <c r="F292" t="s">
        <v>57</v>
      </c>
      <c r="G292" t="s">
        <v>58</v>
      </c>
      <c r="H292" s="1">
        <v>23714.6</v>
      </c>
      <c r="I292" t="s">
        <v>291</v>
      </c>
      <c r="J292">
        <v>307</v>
      </c>
      <c r="K292">
        <v>65017</v>
      </c>
      <c r="L292">
        <v>21225</v>
      </c>
      <c r="M292" t="s">
        <v>448</v>
      </c>
      <c r="N292" t="s">
        <v>449</v>
      </c>
      <c r="O292" t="s">
        <v>450</v>
      </c>
      <c r="P292">
        <v>7774</v>
      </c>
      <c r="Q292">
        <v>4915</v>
      </c>
      <c r="R292" t="s">
        <v>65</v>
      </c>
    </row>
    <row r="293" spans="1:18" x14ac:dyDescent="0.2">
      <c r="A293" t="s">
        <v>468</v>
      </c>
      <c r="B293" t="s">
        <v>447</v>
      </c>
      <c r="C293" t="s">
        <v>447</v>
      </c>
      <c r="D293" t="s">
        <v>52</v>
      </c>
      <c r="E293" t="str">
        <f>"C07R1is"</f>
        <v>C07R1is</v>
      </c>
      <c r="F293" t="s">
        <v>67</v>
      </c>
      <c r="G293" t="s">
        <v>68</v>
      </c>
      <c r="H293" s="1">
        <v>17223.41</v>
      </c>
      <c r="I293" t="s">
        <v>296</v>
      </c>
      <c r="J293">
        <v>1202</v>
      </c>
      <c r="K293">
        <v>65017</v>
      </c>
      <c r="L293">
        <v>21225</v>
      </c>
      <c r="M293" t="s">
        <v>448</v>
      </c>
      <c r="N293" t="s">
        <v>449</v>
      </c>
      <c r="O293" t="s">
        <v>450</v>
      </c>
      <c r="P293">
        <v>7774</v>
      </c>
      <c r="Q293">
        <v>4915</v>
      </c>
      <c r="R293" t="s">
        <v>65</v>
      </c>
    </row>
    <row r="294" spans="1:18" x14ac:dyDescent="0.2">
      <c r="A294" t="s">
        <v>469</v>
      </c>
      <c r="B294" t="s">
        <v>447</v>
      </c>
      <c r="C294" t="s">
        <v>447</v>
      </c>
      <c r="D294" t="s">
        <v>52</v>
      </c>
      <c r="E294" t="str">
        <f>"C07R2ig"</f>
        <v>C07R2ig</v>
      </c>
      <c r="F294" t="s">
        <v>57</v>
      </c>
      <c r="G294" t="s">
        <v>58</v>
      </c>
      <c r="H294" s="1">
        <v>14482.99</v>
      </c>
      <c r="I294" t="s">
        <v>363</v>
      </c>
      <c r="J294">
        <v>245</v>
      </c>
      <c r="K294">
        <v>66446</v>
      </c>
      <c r="L294">
        <v>21443</v>
      </c>
      <c r="M294" t="s">
        <v>448</v>
      </c>
      <c r="N294" t="s">
        <v>449</v>
      </c>
      <c r="O294" t="s">
        <v>450</v>
      </c>
      <c r="P294">
        <v>7774</v>
      </c>
      <c r="Q294">
        <v>4915</v>
      </c>
      <c r="R294" t="s">
        <v>65</v>
      </c>
    </row>
    <row r="295" spans="1:18" x14ac:dyDescent="0.2">
      <c r="A295" t="s">
        <v>470</v>
      </c>
      <c r="B295" t="s">
        <v>447</v>
      </c>
      <c r="C295" t="s">
        <v>447</v>
      </c>
      <c r="D295" t="s">
        <v>52</v>
      </c>
      <c r="E295" t="str">
        <f>"C07R2ig"</f>
        <v>C07R2ig</v>
      </c>
      <c r="F295" t="s">
        <v>71</v>
      </c>
      <c r="G295" t="s">
        <v>72</v>
      </c>
      <c r="H295" s="1">
        <v>88304.33</v>
      </c>
      <c r="I295" t="s">
        <v>298</v>
      </c>
      <c r="J295">
        <v>1298</v>
      </c>
      <c r="K295">
        <v>66446</v>
      </c>
      <c r="L295">
        <v>21443</v>
      </c>
      <c r="M295" t="s">
        <v>448</v>
      </c>
      <c r="N295" t="s">
        <v>449</v>
      </c>
      <c r="O295" t="s">
        <v>450</v>
      </c>
      <c r="P295">
        <v>7774</v>
      </c>
      <c r="Q295">
        <v>4915</v>
      </c>
      <c r="R295" t="s">
        <v>65</v>
      </c>
    </row>
    <row r="296" spans="1:18" x14ac:dyDescent="0.2">
      <c r="A296" t="s">
        <v>471</v>
      </c>
      <c r="B296" t="s">
        <v>447</v>
      </c>
      <c r="C296" t="s">
        <v>447</v>
      </c>
      <c r="D296" t="s">
        <v>52</v>
      </c>
      <c r="E296" t="str">
        <f>"C08R1is"</f>
        <v>C08R1is</v>
      </c>
      <c r="F296" t="s">
        <v>57</v>
      </c>
      <c r="G296" t="s">
        <v>58</v>
      </c>
      <c r="H296" s="1">
        <v>14653.39</v>
      </c>
      <c r="I296" t="s">
        <v>291</v>
      </c>
      <c r="J296">
        <v>183</v>
      </c>
      <c r="K296">
        <v>64167</v>
      </c>
      <c r="L296">
        <v>14163</v>
      </c>
      <c r="M296" t="s">
        <v>448</v>
      </c>
      <c r="N296" t="s">
        <v>449</v>
      </c>
      <c r="O296" t="s">
        <v>450</v>
      </c>
      <c r="P296">
        <v>7774</v>
      </c>
      <c r="Q296">
        <v>4915</v>
      </c>
      <c r="R296" t="s">
        <v>65</v>
      </c>
    </row>
    <row r="297" spans="1:18" x14ac:dyDescent="0.2">
      <c r="A297" t="s">
        <v>472</v>
      </c>
      <c r="B297" t="s">
        <v>447</v>
      </c>
      <c r="C297" t="s">
        <v>447</v>
      </c>
      <c r="D297" t="s">
        <v>52</v>
      </c>
      <c r="E297" t="str">
        <f>"C08R1is"</f>
        <v>C08R1is</v>
      </c>
      <c r="F297" t="s">
        <v>67</v>
      </c>
      <c r="G297" t="s">
        <v>68</v>
      </c>
      <c r="H297" s="1">
        <v>29304.54</v>
      </c>
      <c r="I297" t="s">
        <v>296</v>
      </c>
      <c r="J297">
        <v>1929</v>
      </c>
      <c r="K297">
        <v>64167</v>
      </c>
      <c r="L297">
        <v>14163</v>
      </c>
      <c r="M297" t="s">
        <v>448</v>
      </c>
      <c r="N297" t="s">
        <v>449</v>
      </c>
      <c r="O297" t="s">
        <v>450</v>
      </c>
      <c r="P297">
        <v>7774</v>
      </c>
      <c r="Q297">
        <v>4915</v>
      </c>
      <c r="R297" t="s">
        <v>65</v>
      </c>
    </row>
    <row r="298" spans="1:18" x14ac:dyDescent="0.2">
      <c r="A298" t="s">
        <v>473</v>
      </c>
      <c r="B298" t="s">
        <v>447</v>
      </c>
      <c r="C298" t="s">
        <v>447</v>
      </c>
      <c r="D298" t="s">
        <v>52</v>
      </c>
      <c r="E298" t="str">
        <f>"C08R2g"</f>
        <v>C08R2g</v>
      </c>
      <c r="F298" t="s">
        <v>71</v>
      </c>
      <c r="G298" t="s">
        <v>72</v>
      </c>
      <c r="H298" s="1">
        <v>138205.47</v>
      </c>
      <c r="I298" t="s">
        <v>298</v>
      </c>
      <c r="J298">
        <v>2429</v>
      </c>
      <c r="K298">
        <v>65656</v>
      </c>
      <c r="L298">
        <v>15176</v>
      </c>
      <c r="M298" t="s">
        <v>448</v>
      </c>
      <c r="N298" t="s">
        <v>449</v>
      </c>
      <c r="O298" t="s">
        <v>450</v>
      </c>
      <c r="P298">
        <v>7774</v>
      </c>
      <c r="Q298">
        <v>4915</v>
      </c>
      <c r="R298" t="s">
        <v>65</v>
      </c>
    </row>
    <row r="299" spans="1:18" x14ac:dyDescent="0.2">
      <c r="A299" t="s">
        <v>474</v>
      </c>
      <c r="B299" t="s">
        <v>447</v>
      </c>
      <c r="C299" t="s">
        <v>447</v>
      </c>
      <c r="D299" t="s">
        <v>52</v>
      </c>
      <c r="E299" t="str">
        <f>"C08R3is"</f>
        <v>C08R3is</v>
      </c>
      <c r="F299" t="s">
        <v>57</v>
      </c>
      <c r="G299" t="s">
        <v>58</v>
      </c>
      <c r="H299" s="1">
        <v>14940.26</v>
      </c>
      <c r="I299" t="s">
        <v>291</v>
      </c>
      <c r="J299">
        <v>171</v>
      </c>
      <c r="K299">
        <v>64254</v>
      </c>
      <c r="L299">
        <v>15244</v>
      </c>
      <c r="M299" t="s">
        <v>448</v>
      </c>
      <c r="N299" t="s">
        <v>449</v>
      </c>
      <c r="O299" t="s">
        <v>450</v>
      </c>
      <c r="P299">
        <v>7774</v>
      </c>
      <c r="Q299">
        <v>4915</v>
      </c>
      <c r="R299" t="s">
        <v>65</v>
      </c>
    </row>
    <row r="300" spans="1:18" x14ac:dyDescent="0.2">
      <c r="A300" t="s">
        <v>475</v>
      </c>
      <c r="B300" t="s">
        <v>447</v>
      </c>
      <c r="C300" t="s">
        <v>447</v>
      </c>
      <c r="D300" t="s">
        <v>52</v>
      </c>
      <c r="E300" t="str">
        <f>"C08R3is"</f>
        <v>C08R3is</v>
      </c>
      <c r="F300" t="s">
        <v>67</v>
      </c>
      <c r="G300" t="s">
        <v>68</v>
      </c>
      <c r="H300" s="1">
        <v>22915.26</v>
      </c>
      <c r="I300" t="s">
        <v>296</v>
      </c>
      <c r="J300">
        <v>1566</v>
      </c>
      <c r="K300">
        <v>64254</v>
      </c>
      <c r="L300">
        <v>15244</v>
      </c>
      <c r="M300" t="s">
        <v>448</v>
      </c>
      <c r="N300" t="s">
        <v>449</v>
      </c>
      <c r="O300" t="s">
        <v>450</v>
      </c>
      <c r="P300">
        <v>7774</v>
      </c>
      <c r="Q300">
        <v>4915</v>
      </c>
      <c r="R300" t="s">
        <v>65</v>
      </c>
    </row>
    <row r="301" spans="1:18" x14ac:dyDescent="0.2">
      <c r="A301" t="s">
        <v>476</v>
      </c>
      <c r="B301" t="s">
        <v>447</v>
      </c>
      <c r="C301" t="s">
        <v>447</v>
      </c>
      <c r="D301" t="s">
        <v>52</v>
      </c>
      <c r="E301" t="str">
        <f>"C08R4g"</f>
        <v>C08R4g</v>
      </c>
      <c r="F301" t="s">
        <v>71</v>
      </c>
      <c r="G301" t="s">
        <v>72</v>
      </c>
      <c r="H301" s="1">
        <v>120989.75</v>
      </c>
      <c r="I301" t="s">
        <v>298</v>
      </c>
      <c r="J301">
        <v>2039</v>
      </c>
      <c r="K301">
        <v>65880</v>
      </c>
      <c r="L301">
        <v>13733</v>
      </c>
      <c r="M301" t="s">
        <v>448</v>
      </c>
      <c r="N301" t="s">
        <v>449</v>
      </c>
      <c r="O301" t="s">
        <v>450</v>
      </c>
      <c r="P301">
        <v>7774</v>
      </c>
      <c r="Q301">
        <v>4915</v>
      </c>
      <c r="R301" t="s">
        <v>65</v>
      </c>
    </row>
    <row r="302" spans="1:18" x14ac:dyDescent="0.2">
      <c r="A302" t="s">
        <v>477</v>
      </c>
      <c r="B302" t="s">
        <v>447</v>
      </c>
      <c r="C302" t="s">
        <v>447</v>
      </c>
      <c r="D302" t="s">
        <v>52</v>
      </c>
      <c r="E302" t="str">
        <f>"C09R1is"</f>
        <v>C09R1is</v>
      </c>
      <c r="F302" t="s">
        <v>57</v>
      </c>
      <c r="G302" t="s">
        <v>58</v>
      </c>
      <c r="H302" s="1">
        <v>22105.200000000001</v>
      </c>
      <c r="I302" t="s">
        <v>291</v>
      </c>
      <c r="J302">
        <v>192</v>
      </c>
      <c r="K302">
        <v>58695</v>
      </c>
      <c r="L302">
        <v>35237</v>
      </c>
      <c r="M302" t="s">
        <v>448</v>
      </c>
      <c r="N302" t="s">
        <v>449</v>
      </c>
      <c r="O302" t="s">
        <v>450</v>
      </c>
      <c r="P302">
        <v>7774</v>
      </c>
      <c r="Q302">
        <v>4915</v>
      </c>
      <c r="R302" t="s">
        <v>65</v>
      </c>
    </row>
    <row r="303" spans="1:18" x14ac:dyDescent="0.2">
      <c r="A303" t="s">
        <v>478</v>
      </c>
      <c r="B303" t="s">
        <v>447</v>
      </c>
      <c r="C303" t="s">
        <v>447</v>
      </c>
      <c r="D303" t="s">
        <v>52</v>
      </c>
      <c r="E303" t="str">
        <f>"C09R1is"</f>
        <v>C09R1is</v>
      </c>
      <c r="F303" t="s">
        <v>67</v>
      </c>
      <c r="G303" t="s">
        <v>68</v>
      </c>
      <c r="H303" s="1">
        <v>17543.560000000001</v>
      </c>
      <c r="I303" t="s">
        <v>296</v>
      </c>
      <c r="J303">
        <v>978</v>
      </c>
      <c r="K303">
        <v>58695</v>
      </c>
      <c r="L303">
        <v>35237</v>
      </c>
      <c r="M303" t="s">
        <v>448</v>
      </c>
      <c r="N303" t="s">
        <v>449</v>
      </c>
      <c r="O303" t="s">
        <v>450</v>
      </c>
      <c r="P303">
        <v>7774</v>
      </c>
      <c r="Q303">
        <v>4915</v>
      </c>
      <c r="R303" t="s">
        <v>65</v>
      </c>
    </row>
    <row r="304" spans="1:18" x14ac:dyDescent="0.2">
      <c r="A304" t="s">
        <v>479</v>
      </c>
      <c r="B304" t="s">
        <v>447</v>
      </c>
      <c r="C304" t="s">
        <v>447</v>
      </c>
      <c r="D304" t="s">
        <v>52</v>
      </c>
      <c r="E304" t="str">
        <f>"C09R2g"</f>
        <v>C09R2g</v>
      </c>
      <c r="F304" t="s">
        <v>71</v>
      </c>
      <c r="G304" t="s">
        <v>72</v>
      </c>
      <c r="H304" s="1">
        <v>101754.71</v>
      </c>
      <c r="I304" t="s">
        <v>298</v>
      </c>
      <c r="J304">
        <v>2186</v>
      </c>
      <c r="K304">
        <v>58124</v>
      </c>
      <c r="L304">
        <v>33199</v>
      </c>
      <c r="M304" t="s">
        <v>448</v>
      </c>
      <c r="N304" t="s">
        <v>449</v>
      </c>
      <c r="O304" t="s">
        <v>450</v>
      </c>
      <c r="P304">
        <v>7774</v>
      </c>
      <c r="Q304">
        <v>4915</v>
      </c>
      <c r="R304" t="s">
        <v>65</v>
      </c>
    </row>
    <row r="305" spans="1:18" x14ac:dyDescent="0.2">
      <c r="A305" t="s">
        <v>480</v>
      </c>
      <c r="B305" t="s">
        <v>447</v>
      </c>
      <c r="C305" t="s">
        <v>447</v>
      </c>
      <c r="D305" t="s">
        <v>52</v>
      </c>
      <c r="E305" t="str">
        <f>"C09R3ig"</f>
        <v>C09R3ig</v>
      </c>
      <c r="F305" t="s">
        <v>57</v>
      </c>
      <c r="G305" t="s">
        <v>58</v>
      </c>
      <c r="H305" s="1">
        <v>21749.53</v>
      </c>
      <c r="I305" t="s">
        <v>363</v>
      </c>
      <c r="J305">
        <v>255</v>
      </c>
      <c r="K305">
        <v>59534</v>
      </c>
      <c r="L305">
        <v>34580</v>
      </c>
      <c r="M305" t="s">
        <v>448</v>
      </c>
      <c r="N305" t="s">
        <v>449</v>
      </c>
      <c r="O305" t="s">
        <v>450</v>
      </c>
      <c r="P305">
        <v>7774</v>
      </c>
      <c r="Q305">
        <v>4915</v>
      </c>
      <c r="R305" t="s">
        <v>65</v>
      </c>
    </row>
    <row r="306" spans="1:18" x14ac:dyDescent="0.2">
      <c r="A306" t="s">
        <v>481</v>
      </c>
      <c r="B306" t="s">
        <v>447</v>
      </c>
      <c r="C306" t="s">
        <v>447</v>
      </c>
      <c r="D306" t="s">
        <v>52</v>
      </c>
      <c r="E306" t="str">
        <f>"C09R3ig"</f>
        <v>C09R3ig</v>
      </c>
      <c r="F306" t="s">
        <v>71</v>
      </c>
      <c r="G306" t="s">
        <v>72</v>
      </c>
      <c r="H306" s="1">
        <v>50346.73</v>
      </c>
      <c r="I306" t="s">
        <v>298</v>
      </c>
      <c r="J306">
        <v>541</v>
      </c>
      <c r="K306">
        <v>59534</v>
      </c>
      <c r="L306">
        <v>34580</v>
      </c>
      <c r="M306" t="s">
        <v>448</v>
      </c>
      <c r="N306" t="s">
        <v>449</v>
      </c>
      <c r="O306" t="s">
        <v>450</v>
      </c>
      <c r="P306">
        <v>7774</v>
      </c>
      <c r="Q306">
        <v>4915</v>
      </c>
      <c r="R306" t="s">
        <v>65</v>
      </c>
    </row>
    <row r="307" spans="1:18" x14ac:dyDescent="0.2">
      <c r="A307" t="s">
        <v>482</v>
      </c>
      <c r="B307" t="s">
        <v>447</v>
      </c>
      <c r="C307" t="s">
        <v>447</v>
      </c>
      <c r="D307" t="s">
        <v>52</v>
      </c>
      <c r="E307" t="str">
        <f>"C10R1is"</f>
        <v>C10R1is</v>
      </c>
      <c r="F307" t="s">
        <v>57</v>
      </c>
      <c r="G307" t="s">
        <v>58</v>
      </c>
      <c r="H307" s="1">
        <v>8936.41</v>
      </c>
      <c r="I307" t="s">
        <v>291</v>
      </c>
      <c r="J307">
        <v>109</v>
      </c>
      <c r="K307">
        <v>58476</v>
      </c>
      <c r="L307">
        <v>28369</v>
      </c>
      <c r="M307" t="s">
        <v>448</v>
      </c>
      <c r="N307" t="s">
        <v>449</v>
      </c>
      <c r="O307" t="s">
        <v>450</v>
      </c>
      <c r="P307">
        <v>7774</v>
      </c>
      <c r="Q307">
        <v>4915</v>
      </c>
      <c r="R307" t="s">
        <v>65</v>
      </c>
    </row>
    <row r="308" spans="1:18" x14ac:dyDescent="0.2">
      <c r="A308" t="s">
        <v>483</v>
      </c>
      <c r="B308" t="s">
        <v>447</v>
      </c>
      <c r="C308" t="s">
        <v>447</v>
      </c>
      <c r="D308" t="s">
        <v>52</v>
      </c>
      <c r="E308" t="str">
        <f>"C10R1is"</f>
        <v>C10R1is</v>
      </c>
      <c r="F308" t="s">
        <v>67</v>
      </c>
      <c r="G308" t="s">
        <v>68</v>
      </c>
      <c r="H308" s="1">
        <v>26789.56</v>
      </c>
      <c r="I308" t="s">
        <v>296</v>
      </c>
      <c r="J308">
        <v>1583</v>
      </c>
      <c r="K308">
        <v>58476</v>
      </c>
      <c r="L308">
        <v>28369</v>
      </c>
      <c r="M308" t="s">
        <v>448</v>
      </c>
      <c r="N308" t="s">
        <v>449</v>
      </c>
      <c r="O308" t="s">
        <v>450</v>
      </c>
      <c r="P308">
        <v>7774</v>
      </c>
      <c r="Q308">
        <v>4915</v>
      </c>
      <c r="R308" t="s">
        <v>65</v>
      </c>
    </row>
    <row r="309" spans="1:18" x14ac:dyDescent="0.2">
      <c r="A309" t="s">
        <v>484</v>
      </c>
      <c r="B309" t="s">
        <v>447</v>
      </c>
      <c r="C309" t="s">
        <v>447</v>
      </c>
      <c r="D309" t="s">
        <v>52</v>
      </c>
      <c r="E309" t="str">
        <f>"C10R2ig"</f>
        <v>C10R2ig</v>
      </c>
      <c r="F309" t="s">
        <v>57</v>
      </c>
      <c r="G309" t="s">
        <v>58</v>
      </c>
      <c r="H309" s="1">
        <v>21396.58</v>
      </c>
      <c r="I309" t="s">
        <v>363</v>
      </c>
      <c r="J309">
        <v>152</v>
      </c>
      <c r="K309">
        <v>58485</v>
      </c>
      <c r="L309">
        <v>27145</v>
      </c>
      <c r="M309" t="s">
        <v>448</v>
      </c>
      <c r="N309" t="s">
        <v>449</v>
      </c>
      <c r="O309" t="s">
        <v>450</v>
      </c>
      <c r="P309">
        <v>7774</v>
      </c>
      <c r="Q309">
        <v>4915</v>
      </c>
      <c r="R309" t="s">
        <v>65</v>
      </c>
    </row>
    <row r="310" spans="1:18" x14ac:dyDescent="0.2">
      <c r="A310" t="s">
        <v>485</v>
      </c>
      <c r="B310" t="s">
        <v>447</v>
      </c>
      <c r="C310" t="s">
        <v>447</v>
      </c>
      <c r="D310" t="s">
        <v>52</v>
      </c>
      <c r="E310" t="str">
        <f>"C10R2ig"</f>
        <v>C10R2ig</v>
      </c>
      <c r="F310" t="s">
        <v>71</v>
      </c>
      <c r="G310" t="s">
        <v>72</v>
      </c>
      <c r="H310" s="1">
        <v>119539.86</v>
      </c>
      <c r="I310" t="s">
        <v>298</v>
      </c>
      <c r="J310">
        <v>1308</v>
      </c>
      <c r="K310">
        <v>58485</v>
      </c>
      <c r="L310">
        <v>27145</v>
      </c>
      <c r="M310" t="s">
        <v>448</v>
      </c>
      <c r="N310" t="s">
        <v>449</v>
      </c>
      <c r="O310" t="s">
        <v>450</v>
      </c>
      <c r="P310">
        <v>7774</v>
      </c>
      <c r="Q310">
        <v>4915</v>
      </c>
      <c r="R310" t="s">
        <v>65</v>
      </c>
    </row>
    <row r="311" spans="1:18" x14ac:dyDescent="0.2">
      <c r="A311" t="s">
        <v>486</v>
      </c>
      <c r="B311" t="s">
        <v>447</v>
      </c>
      <c r="C311" t="s">
        <v>447</v>
      </c>
      <c r="D311" t="s">
        <v>52</v>
      </c>
      <c r="E311" t="str">
        <f>"C11R1is"</f>
        <v>C11R1is</v>
      </c>
      <c r="F311" t="s">
        <v>57</v>
      </c>
      <c r="G311" t="s">
        <v>58</v>
      </c>
      <c r="H311" s="1">
        <v>24628.18</v>
      </c>
      <c r="I311" t="s">
        <v>487</v>
      </c>
      <c r="J311">
        <v>312</v>
      </c>
      <c r="K311">
        <v>54630</v>
      </c>
      <c r="L311">
        <v>21927</v>
      </c>
      <c r="M311" t="s">
        <v>448</v>
      </c>
      <c r="N311" t="s">
        <v>449</v>
      </c>
      <c r="O311" t="s">
        <v>450</v>
      </c>
      <c r="P311">
        <v>7774</v>
      </c>
      <c r="Q311">
        <v>4915</v>
      </c>
      <c r="R311" t="s">
        <v>65</v>
      </c>
    </row>
    <row r="312" spans="1:18" x14ac:dyDescent="0.2">
      <c r="A312" t="s">
        <v>488</v>
      </c>
      <c r="B312" t="s">
        <v>447</v>
      </c>
      <c r="C312" t="s">
        <v>447</v>
      </c>
      <c r="D312" t="s">
        <v>52</v>
      </c>
      <c r="E312" t="str">
        <f>"C11R1is"</f>
        <v>C11R1is</v>
      </c>
      <c r="F312" t="s">
        <v>67</v>
      </c>
      <c r="G312" t="s">
        <v>68</v>
      </c>
      <c r="H312" s="1">
        <v>38575.03</v>
      </c>
      <c r="I312" t="s">
        <v>489</v>
      </c>
      <c r="J312">
        <v>2145</v>
      </c>
      <c r="K312">
        <v>54630</v>
      </c>
      <c r="L312">
        <v>21927</v>
      </c>
      <c r="M312" t="s">
        <v>448</v>
      </c>
      <c r="N312" t="s">
        <v>449</v>
      </c>
      <c r="O312" t="s">
        <v>450</v>
      </c>
      <c r="P312">
        <v>7774</v>
      </c>
      <c r="Q312">
        <v>4915</v>
      </c>
      <c r="R312" t="s">
        <v>65</v>
      </c>
    </row>
    <row r="313" spans="1:18" x14ac:dyDescent="0.2">
      <c r="A313" t="s">
        <v>1099</v>
      </c>
      <c r="H313" s="3">
        <f>SUM(H218:H312)</f>
        <v>5357043.25</v>
      </c>
    </row>
    <row r="314" spans="1:18" x14ac:dyDescent="0.2">
      <c r="A314" t="s">
        <v>490</v>
      </c>
      <c r="B314" t="s">
        <v>54</v>
      </c>
      <c r="H314" s="1"/>
    </row>
    <row r="315" spans="1:18" x14ac:dyDescent="0.2">
      <c r="A315" t="s">
        <v>491</v>
      </c>
      <c r="B315" t="s">
        <v>447</v>
      </c>
      <c r="C315" t="s">
        <v>447</v>
      </c>
      <c r="D315" t="s">
        <v>52</v>
      </c>
      <c r="E315" t="str">
        <f>"C11R2g"</f>
        <v>C11R2g</v>
      </c>
      <c r="F315" t="s">
        <v>71</v>
      </c>
      <c r="G315" t="s">
        <v>72</v>
      </c>
      <c r="H315" s="1">
        <v>174879.75</v>
      </c>
      <c r="I315" t="s">
        <v>298</v>
      </c>
      <c r="J315">
        <v>2425</v>
      </c>
      <c r="K315">
        <v>54717</v>
      </c>
      <c r="L315">
        <v>20356</v>
      </c>
      <c r="M315" t="s">
        <v>448</v>
      </c>
      <c r="N315" t="s">
        <v>449</v>
      </c>
      <c r="O315" t="s">
        <v>450</v>
      </c>
      <c r="P315">
        <v>7774</v>
      </c>
      <c r="Q315">
        <v>4915</v>
      </c>
      <c r="R315" t="s">
        <v>65</v>
      </c>
    </row>
    <row r="316" spans="1:18" x14ac:dyDescent="0.2">
      <c r="A316" t="s">
        <v>492</v>
      </c>
      <c r="B316" t="s">
        <v>447</v>
      </c>
      <c r="C316" t="s">
        <v>447</v>
      </c>
      <c r="D316" t="s">
        <v>52</v>
      </c>
      <c r="E316" t="str">
        <f>"C12R1is"</f>
        <v>C12R1is</v>
      </c>
      <c r="F316" t="s">
        <v>57</v>
      </c>
      <c r="G316" t="s">
        <v>58</v>
      </c>
      <c r="H316" s="1">
        <v>16247.75</v>
      </c>
      <c r="I316" t="s">
        <v>291</v>
      </c>
      <c r="J316">
        <v>146</v>
      </c>
      <c r="K316">
        <v>59060</v>
      </c>
      <c r="L316">
        <v>16346</v>
      </c>
      <c r="M316" t="s">
        <v>448</v>
      </c>
      <c r="N316" t="s">
        <v>449</v>
      </c>
      <c r="O316" t="s">
        <v>450</v>
      </c>
      <c r="P316">
        <v>7774</v>
      </c>
      <c r="Q316">
        <v>4915</v>
      </c>
      <c r="R316" t="s">
        <v>65</v>
      </c>
    </row>
    <row r="317" spans="1:18" x14ac:dyDescent="0.2">
      <c r="A317" t="s">
        <v>493</v>
      </c>
      <c r="B317" t="s">
        <v>447</v>
      </c>
      <c r="C317" t="s">
        <v>447</v>
      </c>
      <c r="D317" t="s">
        <v>52</v>
      </c>
      <c r="E317" t="str">
        <f>"C12R1is"</f>
        <v>C12R1is</v>
      </c>
      <c r="F317" t="s">
        <v>67</v>
      </c>
      <c r="G317" t="s">
        <v>68</v>
      </c>
      <c r="H317" s="1">
        <v>14835.15</v>
      </c>
      <c r="I317" t="s">
        <v>296</v>
      </c>
      <c r="J317">
        <v>1027</v>
      </c>
      <c r="K317">
        <v>59060</v>
      </c>
      <c r="L317">
        <v>16346</v>
      </c>
      <c r="M317" t="s">
        <v>448</v>
      </c>
      <c r="N317" t="s">
        <v>449</v>
      </c>
      <c r="O317" t="s">
        <v>450</v>
      </c>
      <c r="P317">
        <v>7774</v>
      </c>
      <c r="Q317">
        <v>4915</v>
      </c>
      <c r="R317" t="s">
        <v>65</v>
      </c>
    </row>
    <row r="318" spans="1:18" x14ac:dyDescent="0.2">
      <c r="A318" t="s">
        <v>494</v>
      </c>
      <c r="B318" t="s">
        <v>447</v>
      </c>
      <c r="C318" t="s">
        <v>447</v>
      </c>
      <c r="D318" t="s">
        <v>52</v>
      </c>
      <c r="E318" t="str">
        <f>"C12R2g"</f>
        <v>C12R2g</v>
      </c>
      <c r="F318" t="s">
        <v>71</v>
      </c>
      <c r="G318" t="s">
        <v>72</v>
      </c>
      <c r="H318" s="1">
        <v>60523.59</v>
      </c>
      <c r="I318" t="s">
        <v>298</v>
      </c>
      <c r="J318">
        <v>995</v>
      </c>
      <c r="K318">
        <v>59684</v>
      </c>
      <c r="L318">
        <v>15591</v>
      </c>
      <c r="M318" t="s">
        <v>448</v>
      </c>
      <c r="N318" t="s">
        <v>449</v>
      </c>
      <c r="O318" t="s">
        <v>450</v>
      </c>
      <c r="P318">
        <v>7774</v>
      </c>
      <c r="Q318">
        <v>4915</v>
      </c>
      <c r="R318" t="s">
        <v>65</v>
      </c>
    </row>
    <row r="319" spans="1:18" x14ac:dyDescent="0.2">
      <c r="A319" t="s">
        <v>495</v>
      </c>
      <c r="B319" t="s">
        <v>447</v>
      </c>
      <c r="C319" t="s">
        <v>447</v>
      </c>
      <c r="D319" t="s">
        <v>52</v>
      </c>
      <c r="E319" t="str">
        <f>"C13R1is"</f>
        <v>C13R1is</v>
      </c>
      <c r="F319" t="s">
        <v>57</v>
      </c>
      <c r="G319" t="s">
        <v>58</v>
      </c>
      <c r="H319" s="1">
        <v>55155.57</v>
      </c>
      <c r="I319" t="s">
        <v>291</v>
      </c>
      <c r="J319">
        <v>583</v>
      </c>
      <c r="K319" t="s">
        <v>496</v>
      </c>
      <c r="L319" t="s">
        <v>497</v>
      </c>
      <c r="M319" t="s">
        <v>448</v>
      </c>
      <c r="N319" t="s">
        <v>449</v>
      </c>
      <c r="O319" t="s">
        <v>450</v>
      </c>
      <c r="P319">
        <v>7774</v>
      </c>
      <c r="Q319">
        <v>4915</v>
      </c>
      <c r="R319" t="s">
        <v>65</v>
      </c>
    </row>
    <row r="320" spans="1:18" x14ac:dyDescent="0.2">
      <c r="A320" t="s">
        <v>498</v>
      </c>
      <c r="B320" t="s">
        <v>447</v>
      </c>
      <c r="C320" t="s">
        <v>447</v>
      </c>
      <c r="D320" t="s">
        <v>52</v>
      </c>
      <c r="E320" t="str">
        <f>"C13R1is"</f>
        <v>C13R1is</v>
      </c>
      <c r="F320" t="s">
        <v>67</v>
      </c>
      <c r="G320" t="s">
        <v>68</v>
      </c>
      <c r="H320" s="1">
        <v>21029.39</v>
      </c>
      <c r="I320" t="s">
        <v>296</v>
      </c>
      <c r="J320">
        <v>1949</v>
      </c>
      <c r="K320" t="s">
        <v>496</v>
      </c>
      <c r="L320" t="s">
        <v>497</v>
      </c>
      <c r="M320" t="s">
        <v>448</v>
      </c>
      <c r="N320" t="s">
        <v>449</v>
      </c>
      <c r="O320" t="s">
        <v>450</v>
      </c>
      <c r="P320">
        <v>7774</v>
      </c>
      <c r="Q320">
        <v>4915</v>
      </c>
      <c r="R320" t="s">
        <v>65</v>
      </c>
    </row>
    <row r="321" spans="1:18" x14ac:dyDescent="0.2">
      <c r="A321" t="s">
        <v>499</v>
      </c>
      <c r="B321" t="s">
        <v>447</v>
      </c>
      <c r="C321" t="s">
        <v>447</v>
      </c>
      <c r="D321" t="s">
        <v>52</v>
      </c>
      <c r="E321" t="str">
        <f>"C13R2g"</f>
        <v>C13R2g</v>
      </c>
      <c r="F321" t="s">
        <v>71</v>
      </c>
      <c r="G321" t="s">
        <v>72</v>
      </c>
      <c r="H321" s="1">
        <v>203304.15</v>
      </c>
      <c r="I321" t="s">
        <v>298</v>
      </c>
      <c r="J321">
        <v>3139</v>
      </c>
      <c r="K321" t="s">
        <v>500</v>
      </c>
      <c r="L321" t="s">
        <v>501</v>
      </c>
      <c r="M321" t="s">
        <v>448</v>
      </c>
      <c r="N321" t="s">
        <v>449</v>
      </c>
      <c r="O321" t="s">
        <v>450</v>
      </c>
      <c r="P321">
        <v>7774</v>
      </c>
      <c r="Q321">
        <v>4915</v>
      </c>
      <c r="R321" t="s">
        <v>65</v>
      </c>
    </row>
    <row r="322" spans="1:18" x14ac:dyDescent="0.2">
      <c r="A322" t="s">
        <v>502</v>
      </c>
      <c r="B322" t="s">
        <v>447</v>
      </c>
      <c r="C322" t="s">
        <v>447</v>
      </c>
      <c r="D322" t="s">
        <v>52</v>
      </c>
      <c r="E322" t="str">
        <f>"C14R1is"</f>
        <v>C14R1is</v>
      </c>
      <c r="F322" t="s">
        <v>57</v>
      </c>
      <c r="G322" t="s">
        <v>58</v>
      </c>
      <c r="H322" s="1">
        <v>21447.62</v>
      </c>
      <c r="I322" t="s">
        <v>291</v>
      </c>
      <c r="J322">
        <v>263</v>
      </c>
      <c r="K322" t="s">
        <v>503</v>
      </c>
      <c r="L322" t="s">
        <v>504</v>
      </c>
      <c r="M322" t="s">
        <v>448</v>
      </c>
      <c r="N322" t="s">
        <v>449</v>
      </c>
      <c r="O322" t="s">
        <v>450</v>
      </c>
      <c r="P322">
        <v>7774</v>
      </c>
      <c r="Q322">
        <v>4915</v>
      </c>
      <c r="R322" t="s">
        <v>65</v>
      </c>
    </row>
    <row r="323" spans="1:18" x14ac:dyDescent="0.2">
      <c r="A323" t="s">
        <v>505</v>
      </c>
      <c r="B323" t="s">
        <v>447</v>
      </c>
      <c r="C323" t="s">
        <v>447</v>
      </c>
      <c r="D323" t="s">
        <v>52</v>
      </c>
      <c r="E323" t="str">
        <f>"C14R1is"</f>
        <v>C14R1is</v>
      </c>
      <c r="F323" t="s">
        <v>67</v>
      </c>
      <c r="G323" t="s">
        <v>68</v>
      </c>
      <c r="H323" s="1">
        <v>37482.57</v>
      </c>
      <c r="I323" t="s">
        <v>296</v>
      </c>
      <c r="J323">
        <v>2590</v>
      </c>
      <c r="K323" t="s">
        <v>503</v>
      </c>
      <c r="L323" t="s">
        <v>504</v>
      </c>
      <c r="M323" t="s">
        <v>448</v>
      </c>
      <c r="N323" t="s">
        <v>449</v>
      </c>
      <c r="O323" t="s">
        <v>450</v>
      </c>
      <c r="P323">
        <v>7774</v>
      </c>
      <c r="Q323">
        <v>4915</v>
      </c>
      <c r="R323" t="s">
        <v>65</v>
      </c>
    </row>
    <row r="324" spans="1:18" x14ac:dyDescent="0.2">
      <c r="A324" t="s">
        <v>506</v>
      </c>
      <c r="B324" t="s">
        <v>447</v>
      </c>
      <c r="C324" t="s">
        <v>447</v>
      </c>
      <c r="D324" t="s">
        <v>52</v>
      </c>
      <c r="E324" t="str">
        <f>"C14R2g"</f>
        <v>C14R2g</v>
      </c>
      <c r="F324" t="s">
        <v>71</v>
      </c>
      <c r="G324" t="s">
        <v>72</v>
      </c>
      <c r="H324" s="1">
        <v>225348.08</v>
      </c>
      <c r="I324" t="s">
        <v>298</v>
      </c>
      <c r="J324">
        <v>3196</v>
      </c>
      <c r="K324" t="s">
        <v>507</v>
      </c>
      <c r="L324" t="s">
        <v>508</v>
      </c>
      <c r="M324" t="s">
        <v>448</v>
      </c>
      <c r="N324" t="s">
        <v>449</v>
      </c>
      <c r="O324" t="s">
        <v>450</v>
      </c>
      <c r="P324">
        <v>7774</v>
      </c>
      <c r="Q324">
        <v>4915</v>
      </c>
      <c r="R324" t="s">
        <v>65</v>
      </c>
    </row>
    <row r="325" spans="1:18" x14ac:dyDescent="0.2">
      <c r="A325" t="s">
        <v>509</v>
      </c>
      <c r="B325" t="s">
        <v>447</v>
      </c>
      <c r="C325" t="s">
        <v>447</v>
      </c>
      <c r="D325" t="s">
        <v>52</v>
      </c>
      <c r="E325" t="str">
        <f>"C15R1is"</f>
        <v>C15R1is</v>
      </c>
      <c r="F325" t="s">
        <v>57</v>
      </c>
      <c r="G325" t="s">
        <v>58</v>
      </c>
      <c r="H325" s="1">
        <v>5860.97</v>
      </c>
      <c r="I325" t="s">
        <v>291</v>
      </c>
      <c r="J325">
        <v>60</v>
      </c>
      <c r="K325">
        <v>51622</v>
      </c>
      <c r="L325">
        <v>22550</v>
      </c>
      <c r="M325" t="s">
        <v>448</v>
      </c>
      <c r="N325" t="s">
        <v>449</v>
      </c>
      <c r="O325" t="s">
        <v>450</v>
      </c>
      <c r="P325">
        <v>7774</v>
      </c>
      <c r="Q325">
        <v>4915</v>
      </c>
      <c r="R325" t="s">
        <v>65</v>
      </c>
    </row>
    <row r="326" spans="1:18" x14ac:dyDescent="0.2">
      <c r="A326" t="s">
        <v>510</v>
      </c>
      <c r="B326" t="s">
        <v>447</v>
      </c>
      <c r="C326" t="s">
        <v>447</v>
      </c>
      <c r="D326" t="s">
        <v>52</v>
      </c>
      <c r="E326" t="str">
        <f>"C15R1is"</f>
        <v>C15R1is</v>
      </c>
      <c r="F326" t="s">
        <v>67</v>
      </c>
      <c r="G326" t="s">
        <v>68</v>
      </c>
      <c r="H326" s="1">
        <v>9649.2000000000007</v>
      </c>
      <c r="I326" t="s">
        <v>296</v>
      </c>
      <c r="J326">
        <v>517</v>
      </c>
      <c r="K326">
        <v>51622</v>
      </c>
      <c r="L326">
        <v>22550</v>
      </c>
      <c r="M326" t="s">
        <v>448</v>
      </c>
      <c r="N326" t="s">
        <v>449</v>
      </c>
      <c r="O326" t="s">
        <v>450</v>
      </c>
      <c r="P326">
        <v>7774</v>
      </c>
      <c r="Q326">
        <v>4915</v>
      </c>
      <c r="R326" t="s">
        <v>65</v>
      </c>
    </row>
    <row r="327" spans="1:18" x14ac:dyDescent="0.2">
      <c r="A327" t="s">
        <v>511</v>
      </c>
      <c r="B327" t="s">
        <v>447</v>
      </c>
      <c r="C327" t="s">
        <v>447</v>
      </c>
      <c r="D327" t="s">
        <v>52</v>
      </c>
      <c r="E327" t="str">
        <f>"C15R2g"</f>
        <v>C15R2g</v>
      </c>
      <c r="F327" t="s">
        <v>71</v>
      </c>
      <c r="G327" t="s">
        <v>72</v>
      </c>
      <c r="H327" s="1">
        <v>77483.17</v>
      </c>
      <c r="I327" t="s">
        <v>298</v>
      </c>
      <c r="J327">
        <v>679</v>
      </c>
      <c r="K327">
        <v>51305</v>
      </c>
      <c r="L327">
        <v>23228</v>
      </c>
      <c r="M327" t="s">
        <v>448</v>
      </c>
      <c r="N327" t="s">
        <v>449</v>
      </c>
      <c r="O327" t="s">
        <v>450</v>
      </c>
      <c r="P327">
        <v>7774</v>
      </c>
      <c r="Q327">
        <v>4915</v>
      </c>
      <c r="R327" t="s">
        <v>65</v>
      </c>
    </row>
    <row r="328" spans="1:18" x14ac:dyDescent="0.2">
      <c r="A328" t="s">
        <v>512</v>
      </c>
      <c r="B328" t="s">
        <v>447</v>
      </c>
      <c r="C328" t="s">
        <v>447</v>
      </c>
      <c r="D328" t="s">
        <v>52</v>
      </c>
      <c r="E328" t="str">
        <f>"C16R1is"</f>
        <v>C16R1is</v>
      </c>
      <c r="F328" t="s">
        <v>57</v>
      </c>
      <c r="G328" t="s">
        <v>58</v>
      </c>
      <c r="H328" s="1">
        <v>4274.13</v>
      </c>
      <c r="I328" t="s">
        <v>291</v>
      </c>
      <c r="J328">
        <v>74</v>
      </c>
      <c r="K328">
        <v>51252</v>
      </c>
      <c r="L328">
        <v>12470</v>
      </c>
      <c r="M328" t="s">
        <v>448</v>
      </c>
      <c r="N328" t="s">
        <v>449</v>
      </c>
      <c r="O328" t="s">
        <v>450</v>
      </c>
      <c r="P328">
        <v>7774</v>
      </c>
      <c r="Q328">
        <v>4915</v>
      </c>
      <c r="R328" t="s">
        <v>65</v>
      </c>
    </row>
    <row r="329" spans="1:18" x14ac:dyDescent="0.2">
      <c r="A329" t="s">
        <v>513</v>
      </c>
      <c r="B329" t="s">
        <v>447</v>
      </c>
      <c r="C329" t="s">
        <v>447</v>
      </c>
      <c r="D329" t="s">
        <v>52</v>
      </c>
      <c r="E329" t="str">
        <f>"C16R1is"</f>
        <v>C16R1is</v>
      </c>
      <c r="F329" t="s">
        <v>67</v>
      </c>
      <c r="G329" t="s">
        <v>68</v>
      </c>
      <c r="H329" s="1">
        <v>5181.1499999999996</v>
      </c>
      <c r="I329" t="s">
        <v>296</v>
      </c>
      <c r="J329">
        <v>295</v>
      </c>
      <c r="K329">
        <v>51252</v>
      </c>
      <c r="L329">
        <v>12470</v>
      </c>
      <c r="M329" t="s">
        <v>448</v>
      </c>
      <c r="N329" t="s">
        <v>449</v>
      </c>
      <c r="O329" t="s">
        <v>450</v>
      </c>
      <c r="P329">
        <v>7774</v>
      </c>
      <c r="Q329">
        <v>4915</v>
      </c>
      <c r="R329" t="s">
        <v>65</v>
      </c>
    </row>
    <row r="330" spans="1:18" x14ac:dyDescent="0.2">
      <c r="A330" t="s">
        <v>514</v>
      </c>
      <c r="B330" t="s">
        <v>447</v>
      </c>
      <c r="C330" t="s">
        <v>447</v>
      </c>
      <c r="D330" t="s">
        <v>52</v>
      </c>
      <c r="E330" t="str">
        <f>"C16R2g"</f>
        <v>C16R2g</v>
      </c>
      <c r="F330" t="s">
        <v>71</v>
      </c>
      <c r="G330" t="s">
        <v>72</v>
      </c>
      <c r="H330" s="1">
        <v>93173.81</v>
      </c>
      <c r="I330" t="s">
        <v>298</v>
      </c>
      <c r="J330">
        <v>858</v>
      </c>
      <c r="K330">
        <v>52475</v>
      </c>
      <c r="L330">
        <v>13931</v>
      </c>
      <c r="M330" t="s">
        <v>448</v>
      </c>
      <c r="N330" t="s">
        <v>449</v>
      </c>
      <c r="O330" t="s">
        <v>450</v>
      </c>
      <c r="P330">
        <v>7774</v>
      </c>
      <c r="Q330">
        <v>4915</v>
      </c>
      <c r="R330" t="s">
        <v>65</v>
      </c>
    </row>
    <row r="331" spans="1:18" x14ac:dyDescent="0.2">
      <c r="A331" t="s">
        <v>515</v>
      </c>
      <c r="B331" t="s">
        <v>447</v>
      </c>
      <c r="C331" t="s">
        <v>447</v>
      </c>
      <c r="D331" t="s">
        <v>52</v>
      </c>
      <c r="E331" t="str">
        <f>"C17R1is"</f>
        <v>C17R1is</v>
      </c>
      <c r="F331" t="s">
        <v>57</v>
      </c>
      <c r="G331" t="s">
        <v>58</v>
      </c>
      <c r="H331" s="1">
        <v>46739.46</v>
      </c>
      <c r="I331" t="s">
        <v>291</v>
      </c>
      <c r="J331">
        <v>423</v>
      </c>
      <c r="K331" t="s">
        <v>516</v>
      </c>
      <c r="L331" t="s">
        <v>517</v>
      </c>
      <c r="M331" t="s">
        <v>448</v>
      </c>
      <c r="N331" t="s">
        <v>449</v>
      </c>
      <c r="O331" t="s">
        <v>450</v>
      </c>
      <c r="P331">
        <v>7774</v>
      </c>
      <c r="Q331">
        <v>4915</v>
      </c>
      <c r="R331" t="s">
        <v>65</v>
      </c>
    </row>
    <row r="332" spans="1:18" x14ac:dyDescent="0.2">
      <c r="A332" t="s">
        <v>518</v>
      </c>
      <c r="B332" t="s">
        <v>447</v>
      </c>
      <c r="C332" t="s">
        <v>447</v>
      </c>
      <c r="D332" t="s">
        <v>52</v>
      </c>
      <c r="E332" t="str">
        <f>"C17R1is"</f>
        <v>C17R1is</v>
      </c>
      <c r="F332" t="s">
        <v>67</v>
      </c>
      <c r="G332" t="s">
        <v>68</v>
      </c>
      <c r="H332" s="1">
        <v>20535.8</v>
      </c>
      <c r="I332" t="s">
        <v>296</v>
      </c>
      <c r="J332">
        <v>737</v>
      </c>
      <c r="K332" t="s">
        <v>516</v>
      </c>
      <c r="L332" t="s">
        <v>517</v>
      </c>
      <c r="M332" t="s">
        <v>448</v>
      </c>
      <c r="N332" t="s">
        <v>449</v>
      </c>
      <c r="O332" t="s">
        <v>450</v>
      </c>
      <c r="P332">
        <v>7774</v>
      </c>
      <c r="Q332">
        <v>4915</v>
      </c>
      <c r="R332" t="s">
        <v>65</v>
      </c>
    </row>
    <row r="333" spans="1:18" x14ac:dyDescent="0.2">
      <c r="A333" t="s">
        <v>519</v>
      </c>
      <c r="B333" t="s">
        <v>447</v>
      </c>
      <c r="C333" t="s">
        <v>447</v>
      </c>
      <c r="D333" t="s">
        <v>52</v>
      </c>
      <c r="E333" t="str">
        <f>"C17R2g"</f>
        <v>C17R2g</v>
      </c>
      <c r="F333" t="s">
        <v>71</v>
      </c>
      <c r="G333" t="s">
        <v>72</v>
      </c>
      <c r="H333" s="1">
        <v>198987.46</v>
      </c>
      <c r="I333" t="s">
        <v>298</v>
      </c>
      <c r="J333">
        <v>2075</v>
      </c>
      <c r="K333" t="s">
        <v>520</v>
      </c>
      <c r="L333" t="s">
        <v>521</v>
      </c>
      <c r="M333" t="s">
        <v>448</v>
      </c>
      <c r="N333" t="s">
        <v>449</v>
      </c>
      <c r="O333" t="s">
        <v>450</v>
      </c>
      <c r="P333">
        <v>7774</v>
      </c>
      <c r="Q333">
        <v>4915</v>
      </c>
      <c r="R333" t="s">
        <v>65</v>
      </c>
    </row>
    <row r="334" spans="1:18" x14ac:dyDescent="0.2">
      <c r="A334" t="s">
        <v>522</v>
      </c>
      <c r="B334" t="s">
        <v>447</v>
      </c>
      <c r="C334" t="s">
        <v>447</v>
      </c>
      <c r="D334" t="s">
        <v>52</v>
      </c>
      <c r="E334" t="str">
        <f>"C18R1is"</f>
        <v>C18R1is</v>
      </c>
      <c r="F334" t="s">
        <v>57</v>
      </c>
      <c r="G334" t="s">
        <v>58</v>
      </c>
      <c r="H334" s="1">
        <v>26922.52</v>
      </c>
      <c r="I334" t="s">
        <v>291</v>
      </c>
      <c r="J334">
        <v>219</v>
      </c>
      <c r="K334" t="s">
        <v>523</v>
      </c>
      <c r="L334" t="s">
        <v>524</v>
      </c>
      <c r="M334" t="s">
        <v>448</v>
      </c>
      <c r="N334" t="s">
        <v>449</v>
      </c>
      <c r="O334" t="s">
        <v>450</v>
      </c>
      <c r="P334">
        <v>7774</v>
      </c>
      <c r="Q334">
        <v>4915</v>
      </c>
      <c r="R334" t="s">
        <v>65</v>
      </c>
    </row>
    <row r="335" spans="1:18" x14ac:dyDescent="0.2">
      <c r="A335" t="s">
        <v>525</v>
      </c>
      <c r="B335" t="s">
        <v>447</v>
      </c>
      <c r="C335" t="s">
        <v>447</v>
      </c>
      <c r="D335" t="s">
        <v>52</v>
      </c>
      <c r="E335" t="str">
        <f>"C18R1is"</f>
        <v>C18R1is</v>
      </c>
      <c r="F335" t="s">
        <v>67</v>
      </c>
      <c r="G335" t="s">
        <v>68</v>
      </c>
      <c r="H335" s="1">
        <v>11890.1</v>
      </c>
      <c r="I335" t="s">
        <v>296</v>
      </c>
      <c r="J335">
        <v>586</v>
      </c>
      <c r="K335" t="s">
        <v>523</v>
      </c>
      <c r="L335" t="s">
        <v>524</v>
      </c>
      <c r="M335" t="s">
        <v>448</v>
      </c>
      <c r="N335" t="s">
        <v>449</v>
      </c>
      <c r="O335" t="s">
        <v>450</v>
      </c>
      <c r="P335">
        <v>7774</v>
      </c>
      <c r="Q335">
        <v>4915</v>
      </c>
      <c r="R335" t="s">
        <v>65</v>
      </c>
    </row>
    <row r="336" spans="1:18" x14ac:dyDescent="0.2">
      <c r="A336" t="s">
        <v>526</v>
      </c>
      <c r="B336" t="s">
        <v>447</v>
      </c>
      <c r="C336" t="s">
        <v>447</v>
      </c>
      <c r="D336" t="s">
        <v>52</v>
      </c>
      <c r="E336" t="str">
        <f>"C18R2g"</f>
        <v>C18R2g</v>
      </c>
      <c r="F336" t="s">
        <v>71</v>
      </c>
      <c r="G336" t="s">
        <v>72</v>
      </c>
      <c r="H336" s="1">
        <v>257464.07</v>
      </c>
      <c r="I336" t="s">
        <v>298</v>
      </c>
      <c r="J336">
        <v>1422</v>
      </c>
      <c r="K336" t="s">
        <v>527</v>
      </c>
      <c r="L336" t="s">
        <v>528</v>
      </c>
      <c r="M336" t="s">
        <v>448</v>
      </c>
      <c r="N336" t="s">
        <v>449</v>
      </c>
      <c r="O336" t="s">
        <v>450</v>
      </c>
      <c r="P336">
        <v>7774</v>
      </c>
      <c r="Q336">
        <v>4915</v>
      </c>
      <c r="R336" t="s">
        <v>65</v>
      </c>
    </row>
    <row r="337" spans="1:18" x14ac:dyDescent="0.2">
      <c r="A337" t="s">
        <v>529</v>
      </c>
      <c r="B337" t="s">
        <v>447</v>
      </c>
      <c r="C337" t="s">
        <v>447</v>
      </c>
      <c r="D337" t="s">
        <v>52</v>
      </c>
      <c r="E337" t="str">
        <f>"C19R1is"</f>
        <v>C19R1is</v>
      </c>
      <c r="F337" t="s">
        <v>57</v>
      </c>
      <c r="G337" t="s">
        <v>58</v>
      </c>
      <c r="H337" s="1">
        <v>46712.58</v>
      </c>
      <c r="I337" t="s">
        <v>291</v>
      </c>
      <c r="J337">
        <v>319</v>
      </c>
      <c r="K337" t="s">
        <v>530</v>
      </c>
      <c r="L337" t="s">
        <v>531</v>
      </c>
      <c r="M337" t="s">
        <v>448</v>
      </c>
      <c r="N337" t="s">
        <v>449</v>
      </c>
      <c r="O337" t="s">
        <v>450</v>
      </c>
      <c r="P337">
        <v>7774</v>
      </c>
      <c r="Q337">
        <v>4915</v>
      </c>
      <c r="R337" t="s">
        <v>65</v>
      </c>
    </row>
    <row r="338" spans="1:18" x14ac:dyDescent="0.2">
      <c r="A338" t="s">
        <v>532</v>
      </c>
      <c r="B338" t="s">
        <v>447</v>
      </c>
      <c r="C338" t="s">
        <v>447</v>
      </c>
      <c r="D338" t="s">
        <v>52</v>
      </c>
      <c r="E338" t="str">
        <f>"C19R1is"</f>
        <v>C19R1is</v>
      </c>
      <c r="F338" t="s">
        <v>67</v>
      </c>
      <c r="G338" t="s">
        <v>68</v>
      </c>
      <c r="H338" s="1">
        <v>18496.650000000001</v>
      </c>
      <c r="I338" t="s">
        <v>296</v>
      </c>
      <c r="J338">
        <v>470</v>
      </c>
      <c r="K338" t="s">
        <v>530</v>
      </c>
      <c r="L338" t="s">
        <v>531</v>
      </c>
      <c r="M338" t="s">
        <v>448</v>
      </c>
      <c r="N338" t="s">
        <v>449</v>
      </c>
      <c r="O338" t="s">
        <v>450</v>
      </c>
      <c r="P338">
        <v>7774</v>
      </c>
      <c r="Q338">
        <v>4915</v>
      </c>
      <c r="R338" t="s">
        <v>65</v>
      </c>
    </row>
    <row r="339" spans="1:18" x14ac:dyDescent="0.2">
      <c r="A339" t="s">
        <v>533</v>
      </c>
      <c r="B339" t="s">
        <v>447</v>
      </c>
      <c r="C339" t="s">
        <v>447</v>
      </c>
      <c r="D339" t="s">
        <v>52</v>
      </c>
      <c r="E339" t="str">
        <f>"C19R2g"</f>
        <v>C19R2g</v>
      </c>
      <c r="F339" t="s">
        <v>71</v>
      </c>
      <c r="G339" t="s">
        <v>72</v>
      </c>
      <c r="H339" s="1">
        <v>216758.85</v>
      </c>
      <c r="I339" t="s">
        <v>298</v>
      </c>
      <c r="J339">
        <v>2082</v>
      </c>
      <c r="K339" t="s">
        <v>534</v>
      </c>
      <c r="L339" t="s">
        <v>535</v>
      </c>
      <c r="M339" t="s">
        <v>448</v>
      </c>
      <c r="N339" t="s">
        <v>449</v>
      </c>
      <c r="O339" t="s">
        <v>450</v>
      </c>
      <c r="P339">
        <v>7774</v>
      </c>
      <c r="Q339">
        <v>4915</v>
      </c>
      <c r="R339" t="s">
        <v>65</v>
      </c>
    </row>
    <row r="340" spans="1:18" x14ac:dyDescent="0.2">
      <c r="A340" t="s">
        <v>536</v>
      </c>
      <c r="B340" t="s">
        <v>447</v>
      </c>
      <c r="C340" t="s">
        <v>447</v>
      </c>
      <c r="D340" t="s">
        <v>52</v>
      </c>
      <c r="E340" t="str">
        <f>"C20R1is"</f>
        <v>C20R1is</v>
      </c>
      <c r="F340" t="s">
        <v>57</v>
      </c>
      <c r="G340" t="s">
        <v>58</v>
      </c>
      <c r="H340" s="1">
        <v>25556.16</v>
      </c>
      <c r="I340" t="s">
        <v>291</v>
      </c>
      <c r="J340">
        <v>109</v>
      </c>
      <c r="K340" t="s">
        <v>537</v>
      </c>
      <c r="L340" t="s">
        <v>538</v>
      </c>
      <c r="M340" t="s">
        <v>448</v>
      </c>
      <c r="N340" t="s">
        <v>449</v>
      </c>
      <c r="O340" t="s">
        <v>450</v>
      </c>
      <c r="P340">
        <v>7774</v>
      </c>
      <c r="Q340">
        <v>4915</v>
      </c>
      <c r="R340" t="s">
        <v>65</v>
      </c>
    </row>
    <row r="341" spans="1:18" x14ac:dyDescent="0.2">
      <c r="A341" t="s">
        <v>539</v>
      </c>
      <c r="B341" t="s">
        <v>447</v>
      </c>
      <c r="C341" t="s">
        <v>447</v>
      </c>
      <c r="D341" t="s">
        <v>52</v>
      </c>
      <c r="E341" t="str">
        <f>"C20R1is"</f>
        <v>C20R1is</v>
      </c>
      <c r="F341" t="s">
        <v>67</v>
      </c>
      <c r="G341" t="s">
        <v>68</v>
      </c>
      <c r="H341" s="1">
        <v>10462.620000000001</v>
      </c>
      <c r="I341" t="s">
        <v>296</v>
      </c>
      <c r="J341">
        <v>223</v>
      </c>
      <c r="K341" t="s">
        <v>537</v>
      </c>
      <c r="L341" t="s">
        <v>538</v>
      </c>
      <c r="M341" t="s">
        <v>448</v>
      </c>
      <c r="N341" t="s">
        <v>449</v>
      </c>
      <c r="O341" t="s">
        <v>450</v>
      </c>
      <c r="P341">
        <v>7774</v>
      </c>
      <c r="Q341">
        <v>4915</v>
      </c>
      <c r="R341" t="s">
        <v>65</v>
      </c>
    </row>
    <row r="342" spans="1:18" x14ac:dyDescent="0.2">
      <c r="A342" t="s">
        <v>540</v>
      </c>
      <c r="B342" t="s">
        <v>447</v>
      </c>
      <c r="C342" t="s">
        <v>447</v>
      </c>
      <c r="D342" t="s">
        <v>52</v>
      </c>
      <c r="E342" t="str">
        <f>"C20R2g"</f>
        <v>C20R2g</v>
      </c>
      <c r="F342" t="s">
        <v>71</v>
      </c>
      <c r="G342" t="s">
        <v>72</v>
      </c>
      <c r="H342" s="1">
        <v>247385.60000000001</v>
      </c>
      <c r="I342" t="s">
        <v>298</v>
      </c>
      <c r="J342">
        <v>1507</v>
      </c>
      <c r="K342" t="s">
        <v>541</v>
      </c>
      <c r="L342" t="s">
        <v>542</v>
      </c>
      <c r="M342" t="s">
        <v>448</v>
      </c>
      <c r="N342" t="s">
        <v>449</v>
      </c>
      <c r="O342" t="s">
        <v>450</v>
      </c>
      <c r="P342">
        <v>7774</v>
      </c>
      <c r="Q342">
        <v>4915</v>
      </c>
      <c r="R342" t="s">
        <v>65</v>
      </c>
    </row>
    <row r="343" spans="1:18" x14ac:dyDescent="0.2">
      <c r="A343" t="s">
        <v>543</v>
      </c>
      <c r="B343" t="s">
        <v>447</v>
      </c>
      <c r="C343" t="s">
        <v>447</v>
      </c>
      <c r="D343" t="s">
        <v>52</v>
      </c>
      <c r="E343" t="str">
        <f>"C21R1is"</f>
        <v>C21R1is</v>
      </c>
      <c r="F343" t="s">
        <v>57</v>
      </c>
      <c r="G343" t="s">
        <v>58</v>
      </c>
      <c r="H343" s="1">
        <v>12099.69</v>
      </c>
      <c r="I343" t="s">
        <v>291</v>
      </c>
      <c r="J343">
        <v>142</v>
      </c>
      <c r="K343">
        <v>38972</v>
      </c>
      <c r="L343">
        <v>34329</v>
      </c>
      <c r="M343" t="s">
        <v>448</v>
      </c>
      <c r="N343" t="s">
        <v>449</v>
      </c>
      <c r="O343" t="s">
        <v>450</v>
      </c>
      <c r="P343">
        <v>7774</v>
      </c>
      <c r="Q343">
        <v>4915</v>
      </c>
      <c r="R343" t="s">
        <v>65</v>
      </c>
    </row>
    <row r="344" spans="1:18" x14ac:dyDescent="0.2">
      <c r="A344" t="s">
        <v>544</v>
      </c>
      <c r="B344" t="s">
        <v>447</v>
      </c>
      <c r="C344" t="s">
        <v>447</v>
      </c>
      <c r="D344" t="s">
        <v>52</v>
      </c>
      <c r="E344" t="str">
        <f>"C21R1is"</f>
        <v>C21R1is</v>
      </c>
      <c r="F344" t="s">
        <v>67</v>
      </c>
      <c r="G344" t="s">
        <v>68</v>
      </c>
      <c r="H344" s="1">
        <v>16699.419999999998</v>
      </c>
      <c r="I344" t="s">
        <v>296</v>
      </c>
      <c r="J344">
        <v>1167</v>
      </c>
      <c r="K344">
        <v>38972</v>
      </c>
      <c r="L344">
        <v>34329</v>
      </c>
      <c r="M344" t="s">
        <v>448</v>
      </c>
      <c r="N344" t="s">
        <v>449</v>
      </c>
      <c r="O344" t="s">
        <v>450</v>
      </c>
      <c r="P344">
        <v>7774</v>
      </c>
      <c r="Q344">
        <v>4915</v>
      </c>
      <c r="R344" t="s">
        <v>65</v>
      </c>
    </row>
    <row r="345" spans="1:18" x14ac:dyDescent="0.2">
      <c r="A345" t="s">
        <v>545</v>
      </c>
      <c r="B345" t="s">
        <v>447</v>
      </c>
      <c r="C345" t="s">
        <v>447</v>
      </c>
      <c r="D345" t="s">
        <v>52</v>
      </c>
      <c r="E345" t="str">
        <f>"C21R2g"</f>
        <v>C21R2g</v>
      </c>
      <c r="F345" t="s">
        <v>71</v>
      </c>
      <c r="G345" t="s">
        <v>72</v>
      </c>
      <c r="H345" s="1">
        <v>220276.52</v>
      </c>
      <c r="I345" t="s">
        <v>298</v>
      </c>
      <c r="J345">
        <v>3074</v>
      </c>
      <c r="K345">
        <v>40421</v>
      </c>
      <c r="L345">
        <v>35404</v>
      </c>
      <c r="M345" t="s">
        <v>448</v>
      </c>
      <c r="N345" t="s">
        <v>449</v>
      </c>
      <c r="O345" t="s">
        <v>450</v>
      </c>
      <c r="P345">
        <v>7774</v>
      </c>
      <c r="Q345">
        <v>4915</v>
      </c>
      <c r="R345" t="s">
        <v>65</v>
      </c>
    </row>
    <row r="346" spans="1:18" x14ac:dyDescent="0.2">
      <c r="A346" t="s">
        <v>546</v>
      </c>
      <c r="B346" t="s">
        <v>447</v>
      </c>
      <c r="C346" t="s">
        <v>447</v>
      </c>
      <c r="D346" t="s">
        <v>52</v>
      </c>
      <c r="E346" t="str">
        <f>"C22R1is"</f>
        <v>C22R1is</v>
      </c>
      <c r="F346" t="s">
        <v>57</v>
      </c>
      <c r="G346" t="s">
        <v>58</v>
      </c>
      <c r="H346" s="1">
        <v>15127.62</v>
      </c>
      <c r="I346" t="s">
        <v>291</v>
      </c>
      <c r="J346">
        <v>213</v>
      </c>
      <c r="K346">
        <v>39138</v>
      </c>
      <c r="L346">
        <v>27881</v>
      </c>
      <c r="M346" t="s">
        <v>448</v>
      </c>
      <c r="N346" t="s">
        <v>449</v>
      </c>
      <c r="O346" t="s">
        <v>450</v>
      </c>
      <c r="P346">
        <v>7774</v>
      </c>
      <c r="Q346">
        <v>4915</v>
      </c>
      <c r="R346" t="s">
        <v>65</v>
      </c>
    </row>
    <row r="347" spans="1:18" x14ac:dyDescent="0.2">
      <c r="A347" t="s">
        <v>547</v>
      </c>
      <c r="B347" t="s">
        <v>447</v>
      </c>
      <c r="C347" t="s">
        <v>447</v>
      </c>
      <c r="D347" t="s">
        <v>52</v>
      </c>
      <c r="E347" t="str">
        <f>"C22R1is"</f>
        <v>C22R1is</v>
      </c>
      <c r="F347" t="s">
        <v>67</v>
      </c>
      <c r="G347" t="s">
        <v>68</v>
      </c>
      <c r="H347" s="1">
        <v>21546.66</v>
      </c>
      <c r="I347" t="s">
        <v>296</v>
      </c>
      <c r="J347">
        <v>1506</v>
      </c>
      <c r="K347">
        <v>39138</v>
      </c>
      <c r="L347">
        <v>27881</v>
      </c>
      <c r="M347" t="s">
        <v>448</v>
      </c>
      <c r="N347" t="s">
        <v>449</v>
      </c>
      <c r="O347" t="s">
        <v>450</v>
      </c>
      <c r="P347">
        <v>7774</v>
      </c>
      <c r="Q347">
        <v>4915</v>
      </c>
      <c r="R347" t="s">
        <v>65</v>
      </c>
    </row>
    <row r="348" spans="1:18" x14ac:dyDescent="0.2">
      <c r="A348" t="s">
        <v>548</v>
      </c>
      <c r="B348" t="s">
        <v>447</v>
      </c>
      <c r="C348" t="s">
        <v>447</v>
      </c>
      <c r="D348" t="s">
        <v>52</v>
      </c>
      <c r="E348" t="str">
        <f>"C22R2g"</f>
        <v>C22R2g</v>
      </c>
      <c r="F348" t="s">
        <v>71</v>
      </c>
      <c r="G348" t="s">
        <v>72</v>
      </c>
      <c r="H348" s="1">
        <v>251788.37</v>
      </c>
      <c r="I348" t="s">
        <v>298</v>
      </c>
      <c r="J348">
        <v>3570</v>
      </c>
      <c r="K348">
        <v>40171</v>
      </c>
      <c r="L348">
        <v>29674</v>
      </c>
      <c r="M348" t="s">
        <v>448</v>
      </c>
      <c r="N348" t="s">
        <v>449</v>
      </c>
      <c r="O348" t="s">
        <v>450</v>
      </c>
      <c r="P348">
        <v>7774</v>
      </c>
      <c r="Q348">
        <v>4915</v>
      </c>
      <c r="R348" t="s">
        <v>65</v>
      </c>
    </row>
    <row r="349" spans="1:18" x14ac:dyDescent="0.2">
      <c r="A349" t="s">
        <v>549</v>
      </c>
      <c r="B349" t="s">
        <v>447</v>
      </c>
      <c r="C349" t="s">
        <v>447</v>
      </c>
      <c r="D349" t="s">
        <v>52</v>
      </c>
      <c r="E349" t="str">
        <f>"C23R1is"</f>
        <v>C23R1is</v>
      </c>
      <c r="F349" t="s">
        <v>57</v>
      </c>
      <c r="G349" t="s">
        <v>58</v>
      </c>
      <c r="H349" s="1">
        <v>22723.43</v>
      </c>
      <c r="I349" t="s">
        <v>291</v>
      </c>
      <c r="J349">
        <v>334</v>
      </c>
      <c r="K349">
        <v>40984</v>
      </c>
      <c r="L349">
        <v>21923</v>
      </c>
      <c r="M349" t="s">
        <v>448</v>
      </c>
      <c r="N349" t="s">
        <v>449</v>
      </c>
      <c r="O349" t="s">
        <v>450</v>
      </c>
      <c r="P349">
        <v>7774</v>
      </c>
      <c r="Q349">
        <v>4915</v>
      </c>
      <c r="R349" t="s">
        <v>65</v>
      </c>
    </row>
    <row r="350" spans="1:18" x14ac:dyDescent="0.2">
      <c r="A350" t="s">
        <v>550</v>
      </c>
      <c r="B350" t="s">
        <v>447</v>
      </c>
      <c r="C350" t="s">
        <v>447</v>
      </c>
      <c r="D350" t="s">
        <v>52</v>
      </c>
      <c r="E350" t="str">
        <f>"C23R1is"</f>
        <v>C23R1is</v>
      </c>
      <c r="F350" t="s">
        <v>67</v>
      </c>
      <c r="G350" t="s">
        <v>68</v>
      </c>
      <c r="H350" s="1">
        <v>21387.62</v>
      </c>
      <c r="I350" t="s">
        <v>296</v>
      </c>
      <c r="J350">
        <v>1614</v>
      </c>
      <c r="K350">
        <v>40984</v>
      </c>
      <c r="L350">
        <v>21923</v>
      </c>
      <c r="M350" t="s">
        <v>448</v>
      </c>
      <c r="N350" t="s">
        <v>449</v>
      </c>
      <c r="O350" t="s">
        <v>450</v>
      </c>
      <c r="P350">
        <v>7774</v>
      </c>
      <c r="Q350">
        <v>4915</v>
      </c>
      <c r="R350" t="s">
        <v>65</v>
      </c>
    </row>
    <row r="351" spans="1:18" x14ac:dyDescent="0.2">
      <c r="A351" t="s">
        <v>551</v>
      </c>
      <c r="B351" t="s">
        <v>447</v>
      </c>
      <c r="C351" t="s">
        <v>447</v>
      </c>
      <c r="D351" t="s">
        <v>52</v>
      </c>
      <c r="E351" t="str">
        <f>"C23R2g"</f>
        <v>C23R2g</v>
      </c>
      <c r="F351" t="s">
        <v>71</v>
      </c>
      <c r="G351" t="s">
        <v>72</v>
      </c>
      <c r="H351" s="1">
        <v>115542.85</v>
      </c>
      <c r="I351" t="s">
        <v>298</v>
      </c>
      <c r="J351">
        <v>1344</v>
      </c>
      <c r="K351">
        <v>39942</v>
      </c>
      <c r="L351">
        <v>20075</v>
      </c>
      <c r="M351" t="s">
        <v>448</v>
      </c>
      <c r="N351" t="s">
        <v>449</v>
      </c>
      <c r="O351" t="s">
        <v>450</v>
      </c>
      <c r="P351">
        <v>7774</v>
      </c>
      <c r="Q351">
        <v>4915</v>
      </c>
      <c r="R351" t="s">
        <v>65</v>
      </c>
    </row>
    <row r="352" spans="1:18" x14ac:dyDescent="0.2">
      <c r="A352" t="s">
        <v>552</v>
      </c>
      <c r="B352" t="s">
        <v>447</v>
      </c>
      <c r="C352" t="s">
        <v>447</v>
      </c>
      <c r="D352" t="s">
        <v>52</v>
      </c>
      <c r="E352" t="str">
        <f>"C24R1is"</f>
        <v>C24R1is</v>
      </c>
      <c r="F352" t="s">
        <v>57</v>
      </c>
      <c r="G352" t="s">
        <v>58</v>
      </c>
      <c r="H352" s="1">
        <v>18527.849999999999</v>
      </c>
      <c r="I352" t="s">
        <v>291</v>
      </c>
      <c r="J352">
        <v>175</v>
      </c>
      <c r="K352" t="s">
        <v>553</v>
      </c>
      <c r="L352" t="s">
        <v>554</v>
      </c>
      <c r="M352" t="s">
        <v>448</v>
      </c>
      <c r="N352" t="s">
        <v>449</v>
      </c>
      <c r="O352" t="s">
        <v>450</v>
      </c>
      <c r="P352">
        <v>7774</v>
      </c>
      <c r="Q352">
        <v>4915</v>
      </c>
      <c r="R352" t="s">
        <v>65</v>
      </c>
    </row>
    <row r="353" spans="1:18" x14ac:dyDescent="0.2">
      <c r="A353" t="s">
        <v>555</v>
      </c>
      <c r="B353" t="s">
        <v>447</v>
      </c>
      <c r="C353" t="s">
        <v>447</v>
      </c>
      <c r="D353" t="s">
        <v>52</v>
      </c>
      <c r="E353" t="str">
        <f>"C24R1is"</f>
        <v>C24R1is</v>
      </c>
      <c r="F353" t="s">
        <v>67</v>
      </c>
      <c r="G353" t="s">
        <v>68</v>
      </c>
      <c r="H353" s="1">
        <v>20998.67</v>
      </c>
      <c r="I353" t="s">
        <v>296</v>
      </c>
      <c r="J353">
        <v>599</v>
      </c>
      <c r="K353" t="s">
        <v>553</v>
      </c>
      <c r="L353" t="s">
        <v>554</v>
      </c>
      <c r="M353" t="s">
        <v>448</v>
      </c>
      <c r="N353" t="s">
        <v>449</v>
      </c>
      <c r="O353" t="s">
        <v>450</v>
      </c>
      <c r="P353">
        <v>7774</v>
      </c>
      <c r="Q353">
        <v>4915</v>
      </c>
      <c r="R353" t="s">
        <v>65</v>
      </c>
    </row>
    <row r="354" spans="1:18" x14ac:dyDescent="0.2">
      <c r="A354" t="s">
        <v>556</v>
      </c>
      <c r="B354" t="s">
        <v>447</v>
      </c>
      <c r="C354" t="s">
        <v>447</v>
      </c>
      <c r="D354" t="s">
        <v>52</v>
      </c>
      <c r="E354" t="str">
        <f>"C24R2g"</f>
        <v>C24R2g</v>
      </c>
      <c r="F354" t="s">
        <v>71</v>
      </c>
      <c r="G354" t="s">
        <v>72</v>
      </c>
      <c r="H354" s="1">
        <v>275956.08</v>
      </c>
      <c r="I354" t="s">
        <v>298</v>
      </c>
      <c r="J354">
        <v>1171</v>
      </c>
      <c r="K354" t="s">
        <v>557</v>
      </c>
      <c r="L354" t="s">
        <v>558</v>
      </c>
      <c r="M354" t="s">
        <v>448</v>
      </c>
      <c r="N354" t="s">
        <v>449</v>
      </c>
      <c r="O354" t="s">
        <v>450</v>
      </c>
      <c r="P354">
        <v>7774</v>
      </c>
      <c r="Q354">
        <v>4915</v>
      </c>
      <c r="R354" t="s">
        <v>65</v>
      </c>
    </row>
    <row r="355" spans="1:18" x14ac:dyDescent="0.2">
      <c r="A355" t="s">
        <v>559</v>
      </c>
      <c r="B355" t="s">
        <v>447</v>
      </c>
      <c r="C355" t="s">
        <v>447</v>
      </c>
      <c r="D355" t="s">
        <v>52</v>
      </c>
      <c r="E355" t="str">
        <f>"C25R1is"</f>
        <v>C25R1is</v>
      </c>
      <c r="F355" t="s">
        <v>57</v>
      </c>
      <c r="G355" t="s">
        <v>58</v>
      </c>
      <c r="H355" s="1">
        <v>9943.59</v>
      </c>
      <c r="I355" t="s">
        <v>291</v>
      </c>
      <c r="J355">
        <v>176</v>
      </c>
      <c r="K355">
        <v>34749</v>
      </c>
      <c r="L355">
        <v>34399</v>
      </c>
      <c r="M355" t="s">
        <v>448</v>
      </c>
      <c r="N355" t="s">
        <v>449</v>
      </c>
      <c r="O355" t="s">
        <v>450</v>
      </c>
      <c r="P355">
        <v>7774</v>
      </c>
      <c r="Q355">
        <v>4915</v>
      </c>
      <c r="R355" t="s">
        <v>65</v>
      </c>
    </row>
    <row r="356" spans="1:18" x14ac:dyDescent="0.2">
      <c r="A356" t="s">
        <v>560</v>
      </c>
      <c r="B356" t="s">
        <v>447</v>
      </c>
      <c r="C356" t="s">
        <v>447</v>
      </c>
      <c r="D356" t="s">
        <v>52</v>
      </c>
      <c r="E356" t="str">
        <f>"C25R1is"</f>
        <v>C25R1is</v>
      </c>
      <c r="F356" t="s">
        <v>67</v>
      </c>
      <c r="G356" t="s">
        <v>68</v>
      </c>
      <c r="H356" s="1">
        <v>49394.91</v>
      </c>
      <c r="I356" t="s">
        <v>296</v>
      </c>
      <c r="J356">
        <v>2496</v>
      </c>
      <c r="K356">
        <v>34749</v>
      </c>
      <c r="L356">
        <v>34399</v>
      </c>
      <c r="M356" t="s">
        <v>448</v>
      </c>
      <c r="N356" t="s">
        <v>449</v>
      </c>
      <c r="O356" t="s">
        <v>450</v>
      </c>
      <c r="P356">
        <v>7774</v>
      </c>
      <c r="Q356">
        <v>4915</v>
      </c>
      <c r="R356" t="s">
        <v>65</v>
      </c>
    </row>
    <row r="357" spans="1:18" x14ac:dyDescent="0.2">
      <c r="A357" t="s">
        <v>561</v>
      </c>
      <c r="B357" t="s">
        <v>447</v>
      </c>
      <c r="C357" t="s">
        <v>447</v>
      </c>
      <c r="D357" t="s">
        <v>52</v>
      </c>
      <c r="E357" t="str">
        <f>"C26R1is"</f>
        <v>C26R1is</v>
      </c>
      <c r="F357" t="s">
        <v>57</v>
      </c>
      <c r="G357" t="s">
        <v>58</v>
      </c>
      <c r="H357" s="1">
        <v>7891.8</v>
      </c>
      <c r="I357" t="s">
        <v>291</v>
      </c>
      <c r="J357">
        <v>61</v>
      </c>
      <c r="K357">
        <v>32339</v>
      </c>
      <c r="L357">
        <v>30028</v>
      </c>
      <c r="M357" t="s">
        <v>448</v>
      </c>
      <c r="N357" t="s">
        <v>449</v>
      </c>
      <c r="O357" t="s">
        <v>450</v>
      </c>
      <c r="P357">
        <v>7774</v>
      </c>
      <c r="Q357">
        <v>4915</v>
      </c>
      <c r="R357" t="s">
        <v>65</v>
      </c>
    </row>
    <row r="358" spans="1:18" x14ac:dyDescent="0.2">
      <c r="A358" t="s">
        <v>562</v>
      </c>
      <c r="B358" t="s">
        <v>447</v>
      </c>
      <c r="C358" t="s">
        <v>447</v>
      </c>
      <c r="D358" t="s">
        <v>52</v>
      </c>
      <c r="E358" t="str">
        <f>"C26R1is"</f>
        <v>C26R1is</v>
      </c>
      <c r="F358" t="s">
        <v>67</v>
      </c>
      <c r="G358" t="s">
        <v>68</v>
      </c>
      <c r="H358" s="1">
        <v>21840.89</v>
      </c>
      <c r="I358" t="s">
        <v>296</v>
      </c>
      <c r="J358">
        <v>646</v>
      </c>
      <c r="K358">
        <v>32339</v>
      </c>
      <c r="L358">
        <v>30028</v>
      </c>
      <c r="M358" t="s">
        <v>448</v>
      </c>
      <c r="N358" t="s">
        <v>449</v>
      </c>
      <c r="O358" t="s">
        <v>450</v>
      </c>
      <c r="P358">
        <v>7774</v>
      </c>
      <c r="Q358">
        <v>4915</v>
      </c>
      <c r="R358" t="s">
        <v>65</v>
      </c>
    </row>
    <row r="359" spans="1:18" x14ac:dyDescent="0.2">
      <c r="A359" t="s">
        <v>563</v>
      </c>
      <c r="B359" t="s">
        <v>447</v>
      </c>
      <c r="C359" t="s">
        <v>447</v>
      </c>
      <c r="D359" t="s">
        <v>52</v>
      </c>
      <c r="E359" t="str">
        <f>"C26R2g"</f>
        <v>C26R2g</v>
      </c>
      <c r="F359" t="s">
        <v>71</v>
      </c>
      <c r="G359" t="s">
        <v>72</v>
      </c>
      <c r="H359" s="1">
        <v>67159.59</v>
      </c>
      <c r="I359" t="s">
        <v>298</v>
      </c>
      <c r="J359">
        <v>839</v>
      </c>
      <c r="K359">
        <v>33190</v>
      </c>
      <c r="L359">
        <v>27828</v>
      </c>
      <c r="M359" t="s">
        <v>448</v>
      </c>
      <c r="N359" t="s">
        <v>449</v>
      </c>
      <c r="O359" t="s">
        <v>450</v>
      </c>
      <c r="P359">
        <v>7774</v>
      </c>
      <c r="Q359">
        <v>4915</v>
      </c>
      <c r="R359" t="s">
        <v>65</v>
      </c>
    </row>
    <row r="360" spans="1:18" x14ac:dyDescent="0.2">
      <c r="A360" t="s">
        <v>564</v>
      </c>
      <c r="B360" t="s">
        <v>447</v>
      </c>
      <c r="C360" t="s">
        <v>447</v>
      </c>
      <c r="D360" t="s">
        <v>52</v>
      </c>
      <c r="E360" t="str">
        <f>"C26R3g"</f>
        <v>C26R3g</v>
      </c>
      <c r="F360" t="s">
        <v>71</v>
      </c>
      <c r="G360" t="s">
        <v>72</v>
      </c>
      <c r="H360" s="1">
        <v>77292.61</v>
      </c>
      <c r="I360" t="s">
        <v>298</v>
      </c>
      <c r="J360">
        <v>988</v>
      </c>
      <c r="K360">
        <v>34364</v>
      </c>
      <c r="L360">
        <v>29484</v>
      </c>
      <c r="M360" t="s">
        <v>448</v>
      </c>
      <c r="N360" t="s">
        <v>449</v>
      </c>
      <c r="O360" t="s">
        <v>450</v>
      </c>
      <c r="P360">
        <v>7774</v>
      </c>
      <c r="Q360">
        <v>4915</v>
      </c>
      <c r="R360" t="s">
        <v>65</v>
      </c>
    </row>
    <row r="361" spans="1:18" x14ac:dyDescent="0.2">
      <c r="A361" t="s">
        <v>565</v>
      </c>
      <c r="B361" t="s">
        <v>447</v>
      </c>
      <c r="C361" t="s">
        <v>447</v>
      </c>
      <c r="D361" t="s">
        <v>52</v>
      </c>
      <c r="E361" t="str">
        <f>"C27R1is"</f>
        <v>C27R1is</v>
      </c>
      <c r="F361" t="s">
        <v>57</v>
      </c>
      <c r="G361" t="s">
        <v>58</v>
      </c>
      <c r="H361" s="1">
        <v>6991.82</v>
      </c>
      <c r="I361" t="s">
        <v>291</v>
      </c>
      <c r="J361">
        <v>126</v>
      </c>
      <c r="K361">
        <v>32414</v>
      </c>
      <c r="L361">
        <v>21507</v>
      </c>
      <c r="M361" t="s">
        <v>448</v>
      </c>
      <c r="N361" t="s">
        <v>449</v>
      </c>
      <c r="O361" t="s">
        <v>450</v>
      </c>
      <c r="P361">
        <v>7774</v>
      </c>
      <c r="Q361">
        <v>4915</v>
      </c>
      <c r="R361" t="s">
        <v>65</v>
      </c>
    </row>
    <row r="362" spans="1:18" x14ac:dyDescent="0.2">
      <c r="A362" t="s">
        <v>566</v>
      </c>
      <c r="B362" t="s">
        <v>447</v>
      </c>
      <c r="C362" t="s">
        <v>447</v>
      </c>
      <c r="D362" t="s">
        <v>52</v>
      </c>
      <c r="E362" t="str">
        <f>"C27R1is"</f>
        <v>C27R1is</v>
      </c>
      <c r="F362" t="s">
        <v>67</v>
      </c>
      <c r="G362" t="s">
        <v>68</v>
      </c>
      <c r="H362" s="1">
        <v>17966.59</v>
      </c>
      <c r="I362" t="s">
        <v>296</v>
      </c>
      <c r="J362">
        <v>1233</v>
      </c>
      <c r="K362">
        <v>32414</v>
      </c>
      <c r="L362">
        <v>21507</v>
      </c>
      <c r="M362" t="s">
        <v>448</v>
      </c>
      <c r="N362" t="s">
        <v>449</v>
      </c>
      <c r="O362" t="s">
        <v>450</v>
      </c>
      <c r="P362">
        <v>7774</v>
      </c>
      <c r="Q362">
        <v>4915</v>
      </c>
      <c r="R362" t="s">
        <v>65</v>
      </c>
    </row>
    <row r="363" spans="1:18" x14ac:dyDescent="0.2">
      <c r="A363" t="s">
        <v>567</v>
      </c>
      <c r="B363" t="s">
        <v>447</v>
      </c>
      <c r="C363" t="s">
        <v>447</v>
      </c>
      <c r="D363" t="s">
        <v>52</v>
      </c>
      <c r="E363" t="str">
        <f>"C27R2g"</f>
        <v>C27R2g</v>
      </c>
      <c r="F363" t="s">
        <v>71</v>
      </c>
      <c r="G363" t="s">
        <v>72</v>
      </c>
      <c r="H363" s="1">
        <v>198821.54</v>
      </c>
      <c r="I363" t="s">
        <v>298</v>
      </c>
      <c r="J363">
        <v>2564</v>
      </c>
      <c r="K363">
        <v>32401</v>
      </c>
      <c r="L363">
        <v>22998</v>
      </c>
      <c r="M363" t="s">
        <v>448</v>
      </c>
      <c r="N363" t="s">
        <v>449</v>
      </c>
      <c r="O363" t="s">
        <v>450</v>
      </c>
      <c r="P363">
        <v>7774</v>
      </c>
      <c r="Q363">
        <v>4915</v>
      </c>
      <c r="R363" t="s">
        <v>65</v>
      </c>
    </row>
    <row r="364" spans="1:18" x14ac:dyDescent="0.2">
      <c r="A364" t="s">
        <v>568</v>
      </c>
      <c r="B364" t="s">
        <v>447</v>
      </c>
      <c r="C364" t="s">
        <v>447</v>
      </c>
      <c r="D364" t="s">
        <v>52</v>
      </c>
      <c r="E364" t="str">
        <f>"C28R1is"</f>
        <v>C28R1is</v>
      </c>
      <c r="F364" t="s">
        <v>57</v>
      </c>
      <c r="G364" t="s">
        <v>58</v>
      </c>
      <c r="H364" s="1">
        <v>8768.26</v>
      </c>
      <c r="I364" t="s">
        <v>291</v>
      </c>
      <c r="J364">
        <v>136</v>
      </c>
      <c r="K364">
        <v>31954</v>
      </c>
      <c r="L364">
        <v>14911</v>
      </c>
      <c r="M364" t="s">
        <v>448</v>
      </c>
      <c r="N364" t="s">
        <v>449</v>
      </c>
      <c r="O364" t="s">
        <v>450</v>
      </c>
      <c r="P364">
        <v>7774</v>
      </c>
      <c r="Q364">
        <v>4915</v>
      </c>
      <c r="R364" t="s">
        <v>65</v>
      </c>
    </row>
    <row r="365" spans="1:18" x14ac:dyDescent="0.2">
      <c r="A365" t="s">
        <v>569</v>
      </c>
      <c r="B365" t="s">
        <v>447</v>
      </c>
      <c r="C365" t="s">
        <v>447</v>
      </c>
      <c r="D365" t="s">
        <v>52</v>
      </c>
      <c r="E365" t="str">
        <f>"C28R1is"</f>
        <v>C28R1is</v>
      </c>
      <c r="F365" t="s">
        <v>67</v>
      </c>
      <c r="G365" t="s">
        <v>68</v>
      </c>
      <c r="H365" s="1">
        <v>34854.800000000003</v>
      </c>
      <c r="I365" t="s">
        <v>296</v>
      </c>
      <c r="J365">
        <v>2499</v>
      </c>
      <c r="K365">
        <v>31954</v>
      </c>
      <c r="L365">
        <v>14911</v>
      </c>
      <c r="M365" t="s">
        <v>448</v>
      </c>
      <c r="N365" t="s">
        <v>449</v>
      </c>
      <c r="O365" t="s">
        <v>450</v>
      </c>
      <c r="P365">
        <v>7774</v>
      </c>
      <c r="Q365">
        <v>4915</v>
      </c>
      <c r="R365" t="s">
        <v>65</v>
      </c>
    </row>
    <row r="366" spans="1:18" x14ac:dyDescent="0.2">
      <c r="A366" t="s">
        <v>570</v>
      </c>
      <c r="B366" t="s">
        <v>447</v>
      </c>
      <c r="C366" t="s">
        <v>447</v>
      </c>
      <c r="D366" t="s">
        <v>52</v>
      </c>
      <c r="E366" t="str">
        <f>"C28R2g"</f>
        <v>C28R2g</v>
      </c>
      <c r="F366" t="s">
        <v>71</v>
      </c>
      <c r="G366" t="s">
        <v>72</v>
      </c>
      <c r="H366" s="1">
        <v>229969.56</v>
      </c>
      <c r="I366" t="s">
        <v>298</v>
      </c>
      <c r="J366">
        <v>3201</v>
      </c>
      <c r="K366">
        <v>33542</v>
      </c>
      <c r="L366">
        <v>14146</v>
      </c>
      <c r="M366" t="s">
        <v>448</v>
      </c>
      <c r="N366" t="s">
        <v>449</v>
      </c>
      <c r="O366" t="s">
        <v>450</v>
      </c>
      <c r="P366">
        <v>7774</v>
      </c>
      <c r="Q366">
        <v>4915</v>
      </c>
      <c r="R366" t="s">
        <v>65</v>
      </c>
    </row>
    <row r="367" spans="1:18" x14ac:dyDescent="0.2">
      <c r="A367" t="s">
        <v>571</v>
      </c>
      <c r="B367" t="s">
        <v>447</v>
      </c>
      <c r="C367" t="s">
        <v>447</v>
      </c>
      <c r="D367" t="s">
        <v>52</v>
      </c>
      <c r="E367" t="str">
        <f>"C29R1is"</f>
        <v>C29R1is</v>
      </c>
      <c r="F367" t="s">
        <v>57</v>
      </c>
      <c r="G367" t="s">
        <v>58</v>
      </c>
      <c r="H367" s="1">
        <v>26764.76</v>
      </c>
      <c r="I367" t="s">
        <v>291</v>
      </c>
      <c r="J367">
        <v>156</v>
      </c>
      <c r="K367">
        <v>26181</v>
      </c>
      <c r="L367">
        <v>33946</v>
      </c>
      <c r="M367" t="s">
        <v>448</v>
      </c>
      <c r="N367" t="s">
        <v>449</v>
      </c>
      <c r="O367" t="s">
        <v>450</v>
      </c>
      <c r="P367">
        <v>7774</v>
      </c>
      <c r="Q367">
        <v>4915</v>
      </c>
      <c r="R367" t="s">
        <v>65</v>
      </c>
    </row>
    <row r="368" spans="1:18" x14ac:dyDescent="0.2">
      <c r="A368" t="s">
        <v>572</v>
      </c>
      <c r="B368" t="s">
        <v>447</v>
      </c>
      <c r="C368" t="s">
        <v>447</v>
      </c>
      <c r="D368" t="s">
        <v>52</v>
      </c>
      <c r="E368" t="str">
        <f>"C29R1is"</f>
        <v>C29R1is</v>
      </c>
      <c r="F368" t="s">
        <v>67</v>
      </c>
      <c r="G368" t="s">
        <v>68</v>
      </c>
      <c r="H368" s="1">
        <v>14585.55</v>
      </c>
      <c r="I368" t="s">
        <v>296</v>
      </c>
      <c r="J368">
        <v>619</v>
      </c>
      <c r="K368">
        <v>26181</v>
      </c>
      <c r="L368">
        <v>33946</v>
      </c>
      <c r="M368" t="s">
        <v>448</v>
      </c>
      <c r="N368" t="s">
        <v>449</v>
      </c>
      <c r="O368" t="s">
        <v>450</v>
      </c>
      <c r="P368">
        <v>7774</v>
      </c>
      <c r="Q368">
        <v>4915</v>
      </c>
      <c r="R368" t="s">
        <v>65</v>
      </c>
    </row>
    <row r="369" spans="1:18" x14ac:dyDescent="0.2">
      <c r="A369" t="s">
        <v>573</v>
      </c>
      <c r="B369" t="s">
        <v>447</v>
      </c>
      <c r="C369" t="s">
        <v>447</v>
      </c>
      <c r="D369" t="s">
        <v>52</v>
      </c>
      <c r="E369" t="str">
        <f>"C29R2ig"</f>
        <v>C29R2ig</v>
      </c>
      <c r="F369" t="s">
        <v>57</v>
      </c>
      <c r="G369" t="s">
        <v>58</v>
      </c>
      <c r="H369" s="1">
        <v>16597.82</v>
      </c>
      <c r="I369" t="s">
        <v>363</v>
      </c>
      <c r="J369">
        <v>99</v>
      </c>
      <c r="K369">
        <v>27563</v>
      </c>
      <c r="L369">
        <v>36162</v>
      </c>
      <c r="M369" t="s">
        <v>448</v>
      </c>
      <c r="N369" t="s">
        <v>449</v>
      </c>
      <c r="O369" t="s">
        <v>450</v>
      </c>
      <c r="P369">
        <v>7774</v>
      </c>
      <c r="Q369">
        <v>4915</v>
      </c>
      <c r="R369" t="s">
        <v>65</v>
      </c>
    </row>
    <row r="370" spans="1:18" x14ac:dyDescent="0.2">
      <c r="A370" t="s">
        <v>574</v>
      </c>
      <c r="B370" t="s">
        <v>447</v>
      </c>
      <c r="C370" t="s">
        <v>447</v>
      </c>
      <c r="D370" t="s">
        <v>52</v>
      </c>
      <c r="E370" t="str">
        <f>"C29R2ig"</f>
        <v>C29R2ig</v>
      </c>
      <c r="F370" t="s">
        <v>71</v>
      </c>
      <c r="G370" t="s">
        <v>72</v>
      </c>
      <c r="H370" s="1">
        <v>230679.78</v>
      </c>
      <c r="I370" t="s">
        <v>298</v>
      </c>
      <c r="J370">
        <v>877</v>
      </c>
      <c r="K370">
        <v>27563</v>
      </c>
      <c r="L370">
        <v>36162</v>
      </c>
      <c r="M370" t="s">
        <v>448</v>
      </c>
      <c r="N370" t="s">
        <v>449</v>
      </c>
      <c r="O370" t="s">
        <v>450</v>
      </c>
      <c r="P370">
        <v>7774</v>
      </c>
      <c r="Q370">
        <v>4915</v>
      </c>
      <c r="R370" t="s">
        <v>65</v>
      </c>
    </row>
    <row r="371" spans="1:18" x14ac:dyDescent="0.2">
      <c r="A371" t="s">
        <v>575</v>
      </c>
      <c r="B371" t="s">
        <v>447</v>
      </c>
      <c r="C371" t="s">
        <v>447</v>
      </c>
      <c r="D371" t="s">
        <v>52</v>
      </c>
      <c r="E371" t="str">
        <f>"C30R1is"</f>
        <v>C30R1is</v>
      </c>
      <c r="F371" t="s">
        <v>57</v>
      </c>
      <c r="G371" t="s">
        <v>58</v>
      </c>
      <c r="H371" s="1">
        <v>42245.65</v>
      </c>
      <c r="I371" t="s">
        <v>291</v>
      </c>
      <c r="J371">
        <v>213</v>
      </c>
      <c r="K371">
        <v>25642</v>
      </c>
      <c r="L371">
        <v>29096</v>
      </c>
      <c r="M371" t="s">
        <v>448</v>
      </c>
      <c r="N371" t="s">
        <v>449</v>
      </c>
      <c r="O371" t="s">
        <v>450</v>
      </c>
      <c r="P371">
        <v>7774</v>
      </c>
      <c r="Q371">
        <v>4915</v>
      </c>
      <c r="R371" t="s">
        <v>65</v>
      </c>
    </row>
    <row r="372" spans="1:18" x14ac:dyDescent="0.2">
      <c r="A372" t="s">
        <v>576</v>
      </c>
      <c r="B372" t="s">
        <v>447</v>
      </c>
      <c r="C372" t="s">
        <v>447</v>
      </c>
      <c r="D372" t="s">
        <v>52</v>
      </c>
      <c r="E372" t="str">
        <f>"C30R1is"</f>
        <v>C30R1is</v>
      </c>
      <c r="F372" t="s">
        <v>67</v>
      </c>
      <c r="G372" t="s">
        <v>68</v>
      </c>
      <c r="H372" s="1">
        <v>5707.06</v>
      </c>
      <c r="I372" t="s">
        <v>296</v>
      </c>
      <c r="J372">
        <v>257</v>
      </c>
      <c r="K372">
        <v>25642</v>
      </c>
      <c r="L372">
        <v>29096</v>
      </c>
      <c r="M372" t="s">
        <v>448</v>
      </c>
      <c r="N372" t="s">
        <v>449</v>
      </c>
      <c r="O372" t="s">
        <v>450</v>
      </c>
      <c r="P372">
        <v>7774</v>
      </c>
      <c r="Q372">
        <v>4915</v>
      </c>
      <c r="R372" t="s">
        <v>65</v>
      </c>
    </row>
    <row r="373" spans="1:18" x14ac:dyDescent="0.2">
      <c r="A373" t="s">
        <v>577</v>
      </c>
      <c r="B373" t="s">
        <v>447</v>
      </c>
      <c r="C373" t="s">
        <v>447</v>
      </c>
      <c r="D373" t="s">
        <v>52</v>
      </c>
      <c r="E373" t="str">
        <f>"C30R2ig"</f>
        <v>C30R2ig</v>
      </c>
      <c r="F373" t="s">
        <v>57</v>
      </c>
      <c r="G373" t="s">
        <v>58</v>
      </c>
      <c r="H373" s="1">
        <v>27007.8</v>
      </c>
      <c r="I373" t="s">
        <v>363</v>
      </c>
      <c r="J373">
        <v>233</v>
      </c>
      <c r="K373">
        <v>27604</v>
      </c>
      <c r="L373">
        <v>27985</v>
      </c>
      <c r="M373" t="s">
        <v>448</v>
      </c>
      <c r="N373" t="s">
        <v>449</v>
      </c>
      <c r="O373" t="s">
        <v>450</v>
      </c>
      <c r="P373">
        <v>7774</v>
      </c>
      <c r="Q373">
        <v>4915</v>
      </c>
      <c r="R373" t="s">
        <v>65</v>
      </c>
    </row>
    <row r="374" spans="1:18" x14ac:dyDescent="0.2">
      <c r="A374" t="s">
        <v>578</v>
      </c>
      <c r="B374" t="s">
        <v>447</v>
      </c>
      <c r="C374" t="s">
        <v>447</v>
      </c>
      <c r="D374" t="s">
        <v>52</v>
      </c>
      <c r="E374" t="str">
        <f>"C30R2ig"</f>
        <v>C30R2ig</v>
      </c>
      <c r="F374" t="s">
        <v>71</v>
      </c>
      <c r="G374" t="s">
        <v>72</v>
      </c>
      <c r="H374" s="1">
        <v>179696.11</v>
      </c>
      <c r="I374" t="s">
        <v>298</v>
      </c>
      <c r="J374">
        <v>2119</v>
      </c>
      <c r="K374">
        <v>27604</v>
      </c>
      <c r="L374">
        <v>27985</v>
      </c>
      <c r="M374" t="s">
        <v>448</v>
      </c>
      <c r="N374" t="s">
        <v>449</v>
      </c>
      <c r="O374" t="s">
        <v>450</v>
      </c>
      <c r="P374">
        <v>7774</v>
      </c>
      <c r="Q374">
        <v>4915</v>
      </c>
      <c r="R374" t="s">
        <v>65</v>
      </c>
    </row>
    <row r="375" spans="1:18" x14ac:dyDescent="0.2">
      <c r="A375" t="s">
        <v>579</v>
      </c>
      <c r="B375" t="s">
        <v>447</v>
      </c>
      <c r="C375" t="s">
        <v>447</v>
      </c>
      <c r="D375" t="s">
        <v>52</v>
      </c>
      <c r="E375" t="str">
        <f>"C31R1is"</f>
        <v>C31R1is</v>
      </c>
      <c r="F375" t="s">
        <v>57</v>
      </c>
      <c r="G375" t="s">
        <v>58</v>
      </c>
      <c r="H375" s="1">
        <v>40541.06</v>
      </c>
      <c r="I375" t="s">
        <v>291</v>
      </c>
      <c r="J375">
        <v>761</v>
      </c>
      <c r="K375">
        <v>26159</v>
      </c>
      <c r="L375">
        <v>20526</v>
      </c>
      <c r="M375" t="s">
        <v>448</v>
      </c>
      <c r="N375" t="s">
        <v>449</v>
      </c>
      <c r="O375" t="s">
        <v>450</v>
      </c>
      <c r="P375">
        <v>7774</v>
      </c>
      <c r="Q375">
        <v>4915</v>
      </c>
      <c r="R375" t="s">
        <v>65</v>
      </c>
    </row>
    <row r="376" spans="1:18" x14ac:dyDescent="0.2">
      <c r="A376" t="s">
        <v>580</v>
      </c>
      <c r="B376" t="s">
        <v>447</v>
      </c>
      <c r="C376" t="s">
        <v>447</v>
      </c>
      <c r="D376" t="s">
        <v>52</v>
      </c>
      <c r="E376" t="str">
        <f>"C31R1is"</f>
        <v>C31R1is</v>
      </c>
      <c r="F376" t="s">
        <v>67</v>
      </c>
      <c r="G376" t="s">
        <v>68</v>
      </c>
      <c r="H376" s="1">
        <v>24182.27</v>
      </c>
      <c r="I376" t="s">
        <v>296</v>
      </c>
      <c r="J376">
        <v>1566</v>
      </c>
      <c r="K376">
        <v>26159</v>
      </c>
      <c r="L376">
        <v>20526</v>
      </c>
      <c r="M376" t="s">
        <v>448</v>
      </c>
      <c r="N376" t="s">
        <v>449</v>
      </c>
      <c r="O376" t="s">
        <v>450</v>
      </c>
      <c r="P376">
        <v>7774</v>
      </c>
      <c r="Q376">
        <v>4915</v>
      </c>
      <c r="R376" t="s">
        <v>65</v>
      </c>
    </row>
    <row r="377" spans="1:18" x14ac:dyDescent="0.2">
      <c r="A377" t="s">
        <v>581</v>
      </c>
      <c r="B377" t="s">
        <v>447</v>
      </c>
      <c r="C377" t="s">
        <v>447</v>
      </c>
      <c r="D377" t="s">
        <v>52</v>
      </c>
      <c r="E377" t="str">
        <f>"C31R2g"</f>
        <v>C31R2g</v>
      </c>
      <c r="F377" t="s">
        <v>71</v>
      </c>
      <c r="G377" t="s">
        <v>72</v>
      </c>
      <c r="H377" s="1">
        <v>108274.55</v>
      </c>
      <c r="I377" t="s">
        <v>298</v>
      </c>
      <c r="J377">
        <v>1706</v>
      </c>
      <c r="K377">
        <v>25386</v>
      </c>
      <c r="L377">
        <v>22032</v>
      </c>
      <c r="M377" t="s">
        <v>448</v>
      </c>
      <c r="N377" t="s">
        <v>449</v>
      </c>
      <c r="O377" t="s">
        <v>450</v>
      </c>
      <c r="P377">
        <v>7774</v>
      </c>
      <c r="Q377">
        <v>4915</v>
      </c>
      <c r="R377" t="s">
        <v>65</v>
      </c>
    </row>
    <row r="378" spans="1:18" x14ac:dyDescent="0.2">
      <c r="A378" t="s">
        <v>582</v>
      </c>
      <c r="B378" t="s">
        <v>447</v>
      </c>
      <c r="C378" t="s">
        <v>447</v>
      </c>
      <c r="D378" t="s">
        <v>52</v>
      </c>
      <c r="E378" t="str">
        <f>"C32R1is"</f>
        <v>C32R1is</v>
      </c>
      <c r="F378" t="s">
        <v>57</v>
      </c>
      <c r="G378" t="s">
        <v>58</v>
      </c>
      <c r="H378" s="1">
        <v>38659.019999999997</v>
      </c>
      <c r="I378" t="s">
        <v>291</v>
      </c>
      <c r="J378">
        <v>630</v>
      </c>
      <c r="K378">
        <v>25916</v>
      </c>
      <c r="L378">
        <v>14831</v>
      </c>
      <c r="M378" t="s">
        <v>448</v>
      </c>
      <c r="N378" t="s">
        <v>449</v>
      </c>
      <c r="O378" t="s">
        <v>450</v>
      </c>
      <c r="P378">
        <v>7774</v>
      </c>
      <c r="Q378">
        <v>4915</v>
      </c>
      <c r="R378" t="s">
        <v>65</v>
      </c>
    </row>
    <row r="379" spans="1:18" x14ac:dyDescent="0.2">
      <c r="A379" t="s">
        <v>583</v>
      </c>
      <c r="B379" t="s">
        <v>447</v>
      </c>
      <c r="C379" t="s">
        <v>447</v>
      </c>
      <c r="D379" t="s">
        <v>52</v>
      </c>
      <c r="E379" t="str">
        <f>"C32R1is"</f>
        <v>C32R1is</v>
      </c>
      <c r="F379" t="s">
        <v>67</v>
      </c>
      <c r="G379" t="s">
        <v>68</v>
      </c>
      <c r="H379" s="1">
        <v>19256.95</v>
      </c>
      <c r="I379" t="s">
        <v>296</v>
      </c>
      <c r="J379">
        <v>1553</v>
      </c>
      <c r="K379">
        <v>25916</v>
      </c>
      <c r="L379">
        <v>14831</v>
      </c>
      <c r="M379" t="s">
        <v>448</v>
      </c>
      <c r="N379" t="s">
        <v>449</v>
      </c>
      <c r="O379" t="s">
        <v>450</v>
      </c>
      <c r="P379">
        <v>7774</v>
      </c>
      <c r="Q379">
        <v>4915</v>
      </c>
      <c r="R379" t="s">
        <v>65</v>
      </c>
    </row>
    <row r="380" spans="1:18" x14ac:dyDescent="0.2">
      <c r="A380" t="s">
        <v>584</v>
      </c>
      <c r="B380" t="s">
        <v>447</v>
      </c>
      <c r="C380" t="s">
        <v>447</v>
      </c>
      <c r="D380" t="s">
        <v>52</v>
      </c>
      <c r="E380" t="str">
        <f>"C32R2g"</f>
        <v>C32R2g</v>
      </c>
      <c r="F380" t="s">
        <v>71</v>
      </c>
      <c r="G380" t="s">
        <v>72</v>
      </c>
      <c r="H380" s="1">
        <v>139791.82999999999</v>
      </c>
      <c r="I380" t="s">
        <v>298</v>
      </c>
      <c r="J380">
        <v>1921</v>
      </c>
      <c r="K380">
        <v>27016</v>
      </c>
      <c r="L380">
        <v>14622</v>
      </c>
      <c r="M380" t="s">
        <v>448</v>
      </c>
      <c r="N380" t="s">
        <v>449</v>
      </c>
      <c r="O380" t="s">
        <v>450</v>
      </c>
      <c r="P380">
        <v>7774</v>
      </c>
      <c r="Q380">
        <v>4915</v>
      </c>
      <c r="R380" t="s">
        <v>65</v>
      </c>
    </row>
    <row r="381" spans="1:18" x14ac:dyDescent="0.2">
      <c r="A381" t="s">
        <v>585</v>
      </c>
      <c r="B381" t="s">
        <v>447</v>
      </c>
      <c r="C381" t="s">
        <v>447</v>
      </c>
      <c r="D381" t="s">
        <v>52</v>
      </c>
      <c r="E381" t="str">
        <f>"C33R1is"</f>
        <v>C33R1is</v>
      </c>
      <c r="F381" t="s">
        <v>57</v>
      </c>
      <c r="G381" t="s">
        <v>58</v>
      </c>
      <c r="H381" s="1">
        <v>16691.419999999998</v>
      </c>
      <c r="I381" t="s">
        <v>291</v>
      </c>
      <c r="J381">
        <v>129</v>
      </c>
      <c r="K381">
        <v>20579</v>
      </c>
      <c r="L381">
        <v>35034</v>
      </c>
      <c r="M381" t="s">
        <v>448</v>
      </c>
      <c r="N381" t="s">
        <v>449</v>
      </c>
      <c r="O381" t="s">
        <v>450</v>
      </c>
      <c r="P381">
        <v>7774</v>
      </c>
      <c r="Q381">
        <v>4915</v>
      </c>
      <c r="R381" t="s">
        <v>65</v>
      </c>
    </row>
    <row r="382" spans="1:18" x14ac:dyDescent="0.2">
      <c r="A382" t="s">
        <v>586</v>
      </c>
      <c r="B382" t="s">
        <v>447</v>
      </c>
      <c r="C382" t="s">
        <v>447</v>
      </c>
      <c r="D382" t="s">
        <v>52</v>
      </c>
      <c r="E382" t="str">
        <f>"C33R1is"</f>
        <v>C33R1is</v>
      </c>
      <c r="F382" t="s">
        <v>67</v>
      </c>
      <c r="G382" t="s">
        <v>68</v>
      </c>
      <c r="H382" s="1">
        <v>8263.6299999999992</v>
      </c>
      <c r="I382" t="s">
        <v>296</v>
      </c>
      <c r="J382">
        <v>114</v>
      </c>
      <c r="K382">
        <v>20579</v>
      </c>
      <c r="L382">
        <v>35034</v>
      </c>
      <c r="M382" t="s">
        <v>448</v>
      </c>
      <c r="N382" t="s">
        <v>449</v>
      </c>
      <c r="O382" t="s">
        <v>450</v>
      </c>
      <c r="P382">
        <v>7774</v>
      </c>
      <c r="Q382">
        <v>4915</v>
      </c>
      <c r="R382" t="s">
        <v>65</v>
      </c>
    </row>
    <row r="383" spans="1:18" x14ac:dyDescent="0.2">
      <c r="A383" t="s">
        <v>587</v>
      </c>
      <c r="B383" t="s">
        <v>447</v>
      </c>
      <c r="C383" t="s">
        <v>447</v>
      </c>
      <c r="D383" t="s">
        <v>52</v>
      </c>
      <c r="E383" t="str">
        <f>"C33R2is"</f>
        <v>C33R2is</v>
      </c>
      <c r="F383" t="s">
        <v>57</v>
      </c>
      <c r="G383" t="s">
        <v>58</v>
      </c>
      <c r="H383" s="1">
        <v>15873.36</v>
      </c>
      <c r="I383" t="s">
        <v>291</v>
      </c>
      <c r="J383">
        <v>109</v>
      </c>
      <c r="K383">
        <v>18694</v>
      </c>
      <c r="L383">
        <v>35481</v>
      </c>
      <c r="M383" t="s">
        <v>448</v>
      </c>
      <c r="N383" t="s">
        <v>449</v>
      </c>
      <c r="O383" t="s">
        <v>450</v>
      </c>
      <c r="P383">
        <v>7774</v>
      </c>
      <c r="Q383">
        <v>4915</v>
      </c>
      <c r="R383" t="s">
        <v>65</v>
      </c>
    </row>
    <row r="384" spans="1:18" x14ac:dyDescent="0.2">
      <c r="A384" t="s">
        <v>588</v>
      </c>
      <c r="B384" t="s">
        <v>447</v>
      </c>
      <c r="C384" t="s">
        <v>447</v>
      </c>
      <c r="D384" t="s">
        <v>52</v>
      </c>
      <c r="E384" t="str">
        <f>"C33R2is"</f>
        <v>C33R2is</v>
      </c>
      <c r="F384" t="s">
        <v>67</v>
      </c>
      <c r="G384" t="s">
        <v>68</v>
      </c>
      <c r="H384" s="1">
        <v>4553.33</v>
      </c>
      <c r="I384" t="s">
        <v>296</v>
      </c>
      <c r="J384">
        <v>125</v>
      </c>
      <c r="K384">
        <v>18694</v>
      </c>
      <c r="L384">
        <v>35481</v>
      </c>
      <c r="M384" t="s">
        <v>448</v>
      </c>
      <c r="N384" t="s">
        <v>449</v>
      </c>
      <c r="O384" t="s">
        <v>450</v>
      </c>
      <c r="P384">
        <v>7774</v>
      </c>
      <c r="Q384">
        <v>4915</v>
      </c>
      <c r="R384" t="s">
        <v>65</v>
      </c>
    </row>
    <row r="385" spans="1:18" x14ac:dyDescent="0.2">
      <c r="A385" t="s">
        <v>589</v>
      </c>
      <c r="B385" t="s">
        <v>447</v>
      </c>
      <c r="C385" t="s">
        <v>447</v>
      </c>
      <c r="D385" t="s">
        <v>52</v>
      </c>
      <c r="E385" t="str">
        <f>"C33R3g"</f>
        <v>C33R3g</v>
      </c>
      <c r="F385" t="s">
        <v>71</v>
      </c>
      <c r="G385" t="s">
        <v>72</v>
      </c>
      <c r="H385" s="1">
        <v>102818.69</v>
      </c>
      <c r="I385" t="s">
        <v>298</v>
      </c>
      <c r="J385">
        <v>774</v>
      </c>
      <c r="K385">
        <v>19101</v>
      </c>
      <c r="L385">
        <v>33941</v>
      </c>
      <c r="M385" t="s">
        <v>448</v>
      </c>
      <c r="N385" t="s">
        <v>449</v>
      </c>
      <c r="O385" t="s">
        <v>450</v>
      </c>
      <c r="P385">
        <v>7774</v>
      </c>
      <c r="Q385">
        <v>4915</v>
      </c>
      <c r="R385" t="s">
        <v>65</v>
      </c>
    </row>
    <row r="386" spans="1:18" x14ac:dyDescent="0.2">
      <c r="A386" t="s">
        <v>590</v>
      </c>
      <c r="B386" t="s">
        <v>447</v>
      </c>
      <c r="C386" t="s">
        <v>447</v>
      </c>
      <c r="D386" t="s">
        <v>52</v>
      </c>
      <c r="E386" t="str">
        <f>"C34R1g"</f>
        <v>C34R1g</v>
      </c>
      <c r="F386" t="s">
        <v>71</v>
      </c>
      <c r="G386" t="s">
        <v>72</v>
      </c>
      <c r="H386" s="1">
        <v>66958.47</v>
      </c>
      <c r="I386" t="s">
        <v>298</v>
      </c>
      <c r="J386">
        <v>45</v>
      </c>
      <c r="K386">
        <v>18768</v>
      </c>
      <c r="L386">
        <v>27651</v>
      </c>
      <c r="M386" t="s">
        <v>448</v>
      </c>
      <c r="N386" t="s">
        <v>449</v>
      </c>
      <c r="O386" t="s">
        <v>450</v>
      </c>
      <c r="P386">
        <v>7774</v>
      </c>
      <c r="Q386">
        <v>4915</v>
      </c>
      <c r="R386" t="s">
        <v>65</v>
      </c>
    </row>
    <row r="387" spans="1:18" x14ac:dyDescent="0.2">
      <c r="A387" t="s">
        <v>591</v>
      </c>
      <c r="B387" t="s">
        <v>447</v>
      </c>
      <c r="C387" t="s">
        <v>447</v>
      </c>
      <c r="D387" t="s">
        <v>52</v>
      </c>
      <c r="E387" t="str">
        <f>"C35R1is"</f>
        <v>C35R1is</v>
      </c>
      <c r="F387" t="s">
        <v>57</v>
      </c>
      <c r="G387" t="s">
        <v>58</v>
      </c>
      <c r="H387" s="1">
        <v>18834.88</v>
      </c>
      <c r="I387" t="s">
        <v>291</v>
      </c>
      <c r="J387">
        <v>309</v>
      </c>
      <c r="K387">
        <v>21025</v>
      </c>
      <c r="L387">
        <v>21940</v>
      </c>
      <c r="M387" t="s">
        <v>448</v>
      </c>
      <c r="N387" t="s">
        <v>449</v>
      </c>
      <c r="O387" t="s">
        <v>450</v>
      </c>
      <c r="P387">
        <v>7774</v>
      </c>
      <c r="Q387">
        <v>4915</v>
      </c>
      <c r="R387" t="s">
        <v>65</v>
      </c>
    </row>
    <row r="388" spans="1:18" x14ac:dyDescent="0.2">
      <c r="A388" t="s">
        <v>592</v>
      </c>
      <c r="B388" t="s">
        <v>447</v>
      </c>
      <c r="C388" t="s">
        <v>447</v>
      </c>
      <c r="D388" t="s">
        <v>52</v>
      </c>
      <c r="E388" t="str">
        <f>"C35R1is"</f>
        <v>C35R1is</v>
      </c>
      <c r="F388" t="s">
        <v>67</v>
      </c>
      <c r="G388" t="s">
        <v>68</v>
      </c>
      <c r="H388" s="1">
        <v>13839.81</v>
      </c>
      <c r="I388" t="s">
        <v>296</v>
      </c>
      <c r="J388">
        <v>619</v>
      </c>
      <c r="K388">
        <v>21025</v>
      </c>
      <c r="L388">
        <v>21940</v>
      </c>
      <c r="M388" t="s">
        <v>448</v>
      </c>
      <c r="N388" t="s">
        <v>449</v>
      </c>
      <c r="O388" t="s">
        <v>450</v>
      </c>
      <c r="P388">
        <v>7774</v>
      </c>
      <c r="Q388">
        <v>4915</v>
      </c>
      <c r="R388" t="s">
        <v>65</v>
      </c>
    </row>
    <row r="389" spans="1:18" x14ac:dyDescent="0.2">
      <c r="A389" t="s">
        <v>593</v>
      </c>
      <c r="B389" t="s">
        <v>447</v>
      </c>
      <c r="C389" t="s">
        <v>447</v>
      </c>
      <c r="D389" t="s">
        <v>52</v>
      </c>
      <c r="E389" t="str">
        <f>"C35R2ig"</f>
        <v>C35R2ig</v>
      </c>
      <c r="F389" t="s">
        <v>57</v>
      </c>
      <c r="G389" t="s">
        <v>58</v>
      </c>
      <c r="H389" s="1">
        <v>11178.44</v>
      </c>
      <c r="I389" t="s">
        <v>363</v>
      </c>
      <c r="J389">
        <v>158</v>
      </c>
      <c r="K389">
        <v>19933</v>
      </c>
      <c r="L389">
        <v>20210</v>
      </c>
      <c r="M389" t="s">
        <v>448</v>
      </c>
      <c r="N389" t="s">
        <v>449</v>
      </c>
      <c r="O389" t="s">
        <v>450</v>
      </c>
      <c r="P389">
        <v>7774</v>
      </c>
      <c r="Q389">
        <v>4915</v>
      </c>
      <c r="R389" t="s">
        <v>65</v>
      </c>
    </row>
    <row r="390" spans="1:18" x14ac:dyDescent="0.2">
      <c r="A390" t="s">
        <v>594</v>
      </c>
      <c r="B390" t="s">
        <v>447</v>
      </c>
      <c r="C390" t="s">
        <v>447</v>
      </c>
      <c r="D390" t="s">
        <v>52</v>
      </c>
      <c r="E390" t="str">
        <f>"C35R2ig"</f>
        <v>C35R2ig</v>
      </c>
      <c r="F390" t="s">
        <v>71</v>
      </c>
      <c r="G390" t="s">
        <v>72</v>
      </c>
      <c r="H390" s="1">
        <v>67586.94</v>
      </c>
      <c r="I390" t="s">
        <v>298</v>
      </c>
      <c r="J390">
        <v>810</v>
      </c>
      <c r="K390">
        <v>19933</v>
      </c>
      <c r="L390">
        <v>20210</v>
      </c>
      <c r="M390" t="s">
        <v>448</v>
      </c>
      <c r="N390" t="s">
        <v>449</v>
      </c>
      <c r="O390" t="s">
        <v>450</v>
      </c>
      <c r="P390">
        <v>7774</v>
      </c>
      <c r="Q390">
        <v>4915</v>
      </c>
      <c r="R390" t="s">
        <v>65</v>
      </c>
    </row>
    <row r="391" spans="1:18" x14ac:dyDescent="0.2">
      <c r="A391" t="s">
        <v>595</v>
      </c>
      <c r="B391" t="s">
        <v>447</v>
      </c>
      <c r="C391" t="s">
        <v>447</v>
      </c>
      <c r="D391" t="s">
        <v>52</v>
      </c>
      <c r="E391" t="str">
        <f>"C35R3g"</f>
        <v>C35R3g</v>
      </c>
      <c r="F391" t="s">
        <v>71</v>
      </c>
      <c r="G391" t="s">
        <v>72</v>
      </c>
      <c r="H391" s="1">
        <v>132840.97</v>
      </c>
      <c r="I391" t="s">
        <v>298</v>
      </c>
      <c r="J391">
        <v>1155</v>
      </c>
      <c r="K391">
        <v>18686</v>
      </c>
      <c r="L391">
        <v>20946</v>
      </c>
      <c r="M391" t="s">
        <v>448</v>
      </c>
      <c r="N391" t="s">
        <v>449</v>
      </c>
      <c r="O391" t="s">
        <v>450</v>
      </c>
      <c r="P391">
        <v>7774</v>
      </c>
      <c r="Q391">
        <v>4915</v>
      </c>
      <c r="R391" t="s">
        <v>65</v>
      </c>
    </row>
    <row r="392" spans="1:18" x14ac:dyDescent="0.2">
      <c r="A392" t="s">
        <v>596</v>
      </c>
      <c r="B392" t="s">
        <v>447</v>
      </c>
      <c r="C392" t="s">
        <v>447</v>
      </c>
      <c r="D392" t="s">
        <v>52</v>
      </c>
      <c r="E392" t="str">
        <f>"C36R1is"</f>
        <v>C36R1is</v>
      </c>
      <c r="F392" t="s">
        <v>57</v>
      </c>
      <c r="G392" t="s">
        <v>58</v>
      </c>
      <c r="H392" s="1">
        <v>27445.71</v>
      </c>
      <c r="I392" t="s">
        <v>291</v>
      </c>
      <c r="J392">
        <v>426</v>
      </c>
      <c r="K392">
        <v>20089</v>
      </c>
      <c r="L392">
        <v>15467</v>
      </c>
      <c r="M392" t="s">
        <v>448</v>
      </c>
      <c r="N392" t="s">
        <v>449</v>
      </c>
      <c r="O392" t="s">
        <v>450</v>
      </c>
      <c r="P392">
        <v>7774</v>
      </c>
      <c r="Q392">
        <v>4915</v>
      </c>
      <c r="R392" t="s">
        <v>65</v>
      </c>
    </row>
    <row r="393" spans="1:18" x14ac:dyDescent="0.2">
      <c r="A393" t="s">
        <v>597</v>
      </c>
      <c r="B393" t="s">
        <v>447</v>
      </c>
      <c r="C393" t="s">
        <v>447</v>
      </c>
      <c r="D393" t="s">
        <v>52</v>
      </c>
      <c r="E393" t="str">
        <f>"C36R1is"</f>
        <v>C36R1is</v>
      </c>
      <c r="F393" t="s">
        <v>67</v>
      </c>
      <c r="G393" t="s">
        <v>68</v>
      </c>
      <c r="H393" s="1">
        <v>23631.08</v>
      </c>
      <c r="I393" t="s">
        <v>296</v>
      </c>
      <c r="J393">
        <v>1035</v>
      </c>
      <c r="K393">
        <v>20089</v>
      </c>
      <c r="L393">
        <v>15467</v>
      </c>
      <c r="M393" t="s">
        <v>448</v>
      </c>
      <c r="N393" t="s">
        <v>449</v>
      </c>
      <c r="O393" t="s">
        <v>450</v>
      </c>
      <c r="P393">
        <v>7774</v>
      </c>
      <c r="Q393">
        <v>4915</v>
      </c>
      <c r="R393" t="s">
        <v>65</v>
      </c>
    </row>
    <row r="394" spans="1:18" x14ac:dyDescent="0.2">
      <c r="A394" t="s">
        <v>598</v>
      </c>
      <c r="B394" t="s">
        <v>447</v>
      </c>
      <c r="C394" t="s">
        <v>447</v>
      </c>
      <c r="D394" t="s">
        <v>52</v>
      </c>
      <c r="E394" t="str">
        <f>"C37R1is"</f>
        <v>C37R1is</v>
      </c>
      <c r="F394" t="s">
        <v>57</v>
      </c>
      <c r="G394" t="s">
        <v>58</v>
      </c>
      <c r="H394" s="1">
        <v>19569.59</v>
      </c>
      <c r="I394" t="s">
        <v>291</v>
      </c>
      <c r="J394">
        <v>227</v>
      </c>
      <c r="K394">
        <v>13804</v>
      </c>
      <c r="L394">
        <v>35152</v>
      </c>
      <c r="M394" t="s">
        <v>448</v>
      </c>
      <c r="N394" t="s">
        <v>449</v>
      </c>
      <c r="O394" t="s">
        <v>450</v>
      </c>
      <c r="P394">
        <v>7774</v>
      </c>
      <c r="Q394">
        <v>4915</v>
      </c>
      <c r="R394" t="s">
        <v>65</v>
      </c>
    </row>
    <row r="395" spans="1:18" x14ac:dyDescent="0.2">
      <c r="A395" t="s">
        <v>599</v>
      </c>
      <c r="B395" t="s">
        <v>447</v>
      </c>
      <c r="C395" t="s">
        <v>447</v>
      </c>
      <c r="D395" t="s">
        <v>52</v>
      </c>
      <c r="E395" t="str">
        <f>"C37R1is"</f>
        <v>C37R1is</v>
      </c>
      <c r="F395" t="s">
        <v>67</v>
      </c>
      <c r="G395" t="s">
        <v>68</v>
      </c>
      <c r="H395" s="1">
        <v>41614.79</v>
      </c>
      <c r="I395" t="s">
        <v>296</v>
      </c>
      <c r="J395">
        <v>2933</v>
      </c>
      <c r="K395">
        <v>13804</v>
      </c>
      <c r="L395">
        <v>35152</v>
      </c>
      <c r="M395" t="s">
        <v>448</v>
      </c>
      <c r="N395" t="s">
        <v>449</v>
      </c>
      <c r="O395" t="s">
        <v>450</v>
      </c>
      <c r="P395">
        <v>7774</v>
      </c>
      <c r="Q395">
        <v>4915</v>
      </c>
      <c r="R395" t="s">
        <v>65</v>
      </c>
    </row>
    <row r="396" spans="1:18" x14ac:dyDescent="0.2">
      <c r="A396" t="s">
        <v>600</v>
      </c>
      <c r="B396" t="s">
        <v>447</v>
      </c>
      <c r="C396" t="s">
        <v>447</v>
      </c>
      <c r="D396" t="s">
        <v>52</v>
      </c>
      <c r="E396" t="str">
        <f>"C37R2g"</f>
        <v>C37R2g</v>
      </c>
      <c r="F396" t="s">
        <v>71</v>
      </c>
      <c r="G396" t="s">
        <v>72</v>
      </c>
      <c r="H396" s="1">
        <v>125713.15</v>
      </c>
      <c r="I396" t="s">
        <v>298</v>
      </c>
      <c r="J396">
        <v>1622</v>
      </c>
      <c r="K396">
        <v>11967</v>
      </c>
      <c r="L396">
        <v>35949</v>
      </c>
      <c r="M396" t="s">
        <v>448</v>
      </c>
      <c r="N396" t="s">
        <v>449</v>
      </c>
      <c r="O396" t="s">
        <v>450</v>
      </c>
      <c r="P396">
        <v>7774</v>
      </c>
      <c r="Q396">
        <v>4915</v>
      </c>
      <c r="R396" t="s">
        <v>65</v>
      </c>
    </row>
    <row r="397" spans="1:18" x14ac:dyDescent="0.2">
      <c r="A397" t="s">
        <v>601</v>
      </c>
      <c r="B397" t="s">
        <v>447</v>
      </c>
      <c r="C397" t="s">
        <v>447</v>
      </c>
      <c r="D397" t="s">
        <v>52</v>
      </c>
      <c r="E397" t="str">
        <f>"C38R1is"</f>
        <v>C38R1is</v>
      </c>
      <c r="F397" t="s">
        <v>57</v>
      </c>
      <c r="G397" t="s">
        <v>58</v>
      </c>
      <c r="H397" s="1">
        <v>15252.9</v>
      </c>
      <c r="I397" t="s">
        <v>291</v>
      </c>
      <c r="J397">
        <v>181</v>
      </c>
      <c r="K397">
        <v>13357</v>
      </c>
      <c r="L397">
        <v>28942</v>
      </c>
      <c r="M397" t="s">
        <v>448</v>
      </c>
      <c r="N397" t="s">
        <v>449</v>
      </c>
      <c r="O397" t="s">
        <v>450</v>
      </c>
      <c r="P397">
        <v>7774</v>
      </c>
      <c r="Q397">
        <v>4915</v>
      </c>
      <c r="R397" t="s">
        <v>65</v>
      </c>
    </row>
    <row r="398" spans="1:18" x14ac:dyDescent="0.2">
      <c r="A398" t="s">
        <v>602</v>
      </c>
      <c r="B398" t="s">
        <v>447</v>
      </c>
      <c r="C398" t="s">
        <v>447</v>
      </c>
      <c r="D398" t="s">
        <v>52</v>
      </c>
      <c r="E398" t="str">
        <f>"C38R1is"</f>
        <v>C38R1is</v>
      </c>
      <c r="F398" t="s">
        <v>67</v>
      </c>
      <c r="G398" t="s">
        <v>68</v>
      </c>
      <c r="H398" s="1">
        <v>52167.48</v>
      </c>
      <c r="I398" t="s">
        <v>296</v>
      </c>
      <c r="J398">
        <v>3384</v>
      </c>
      <c r="K398">
        <v>13357</v>
      </c>
      <c r="L398">
        <v>28942</v>
      </c>
      <c r="M398" t="s">
        <v>448</v>
      </c>
      <c r="N398" t="s">
        <v>449</v>
      </c>
      <c r="O398" t="s">
        <v>450</v>
      </c>
      <c r="P398">
        <v>7774</v>
      </c>
      <c r="Q398">
        <v>4915</v>
      </c>
      <c r="R398" t="s">
        <v>65</v>
      </c>
    </row>
    <row r="399" spans="1:18" x14ac:dyDescent="0.2">
      <c r="A399" t="s">
        <v>603</v>
      </c>
      <c r="B399" t="s">
        <v>447</v>
      </c>
      <c r="C399" t="s">
        <v>447</v>
      </c>
      <c r="D399" t="s">
        <v>52</v>
      </c>
      <c r="E399" t="str">
        <f>"C38R2g"</f>
        <v>C38R2g</v>
      </c>
      <c r="F399" t="s">
        <v>71</v>
      </c>
      <c r="G399" t="s">
        <v>72</v>
      </c>
      <c r="H399" s="1">
        <v>113242.42</v>
      </c>
      <c r="I399" t="s">
        <v>298</v>
      </c>
      <c r="J399">
        <v>1845</v>
      </c>
      <c r="K399">
        <v>11699</v>
      </c>
      <c r="L399">
        <v>27806</v>
      </c>
      <c r="M399" t="s">
        <v>448</v>
      </c>
      <c r="N399" t="s">
        <v>449</v>
      </c>
      <c r="O399" t="s">
        <v>450</v>
      </c>
      <c r="P399">
        <v>7774</v>
      </c>
      <c r="Q399">
        <v>4915</v>
      </c>
      <c r="R399" t="s">
        <v>65</v>
      </c>
    </row>
    <row r="400" spans="1:18" x14ac:dyDescent="0.2">
      <c r="A400" t="s">
        <v>604</v>
      </c>
      <c r="B400" t="s">
        <v>447</v>
      </c>
      <c r="C400" t="s">
        <v>447</v>
      </c>
      <c r="D400" t="s">
        <v>52</v>
      </c>
      <c r="E400" t="str">
        <f>"C39R1is"</f>
        <v>C39R1is</v>
      </c>
      <c r="F400" t="s">
        <v>57</v>
      </c>
      <c r="G400" t="s">
        <v>58</v>
      </c>
      <c r="H400" s="1">
        <v>25380.32</v>
      </c>
      <c r="I400" t="s">
        <v>291</v>
      </c>
      <c r="J400">
        <v>303</v>
      </c>
      <c r="K400" t="s">
        <v>605</v>
      </c>
      <c r="L400" t="s">
        <v>606</v>
      </c>
      <c r="M400" t="s">
        <v>448</v>
      </c>
      <c r="N400" t="s">
        <v>449</v>
      </c>
      <c r="O400" t="s">
        <v>450</v>
      </c>
      <c r="P400">
        <v>7774</v>
      </c>
      <c r="Q400">
        <v>4915</v>
      </c>
      <c r="R400" t="s">
        <v>65</v>
      </c>
    </row>
    <row r="401" spans="1:18" x14ac:dyDescent="0.2">
      <c r="A401" t="s">
        <v>607</v>
      </c>
      <c r="B401" t="s">
        <v>447</v>
      </c>
      <c r="C401" t="s">
        <v>447</v>
      </c>
      <c r="D401" t="s">
        <v>52</v>
      </c>
      <c r="E401" t="str">
        <f>"C39R1is"</f>
        <v>C39R1is</v>
      </c>
      <c r="F401" t="s">
        <v>67</v>
      </c>
      <c r="G401" t="s">
        <v>68</v>
      </c>
      <c r="H401" s="1">
        <v>27023.16</v>
      </c>
      <c r="I401" t="s">
        <v>296</v>
      </c>
      <c r="J401">
        <v>1795</v>
      </c>
      <c r="K401" t="s">
        <v>605</v>
      </c>
      <c r="L401" t="s">
        <v>606</v>
      </c>
      <c r="M401" t="s">
        <v>448</v>
      </c>
      <c r="N401" t="s">
        <v>449</v>
      </c>
      <c r="O401" t="s">
        <v>450</v>
      </c>
      <c r="P401">
        <v>7774</v>
      </c>
      <c r="Q401">
        <v>4915</v>
      </c>
      <c r="R401" t="s">
        <v>65</v>
      </c>
    </row>
    <row r="402" spans="1:18" x14ac:dyDescent="0.2">
      <c r="A402" t="s">
        <v>608</v>
      </c>
      <c r="B402" t="s">
        <v>447</v>
      </c>
      <c r="C402" t="s">
        <v>447</v>
      </c>
      <c r="D402" t="s">
        <v>52</v>
      </c>
      <c r="E402" t="str">
        <f>"C39R2g"</f>
        <v>C39R2g</v>
      </c>
      <c r="F402" t="s">
        <v>71</v>
      </c>
      <c r="G402" t="s">
        <v>72</v>
      </c>
      <c r="H402" s="1">
        <v>227462.58</v>
      </c>
      <c r="I402" t="s">
        <v>298</v>
      </c>
      <c r="J402">
        <v>1903</v>
      </c>
      <c r="K402" t="s">
        <v>609</v>
      </c>
      <c r="L402" t="s">
        <v>610</v>
      </c>
      <c r="M402" t="s">
        <v>448</v>
      </c>
      <c r="N402" t="s">
        <v>449</v>
      </c>
      <c r="O402" t="s">
        <v>450</v>
      </c>
      <c r="P402">
        <v>7774</v>
      </c>
      <c r="Q402">
        <v>4915</v>
      </c>
      <c r="R402" t="s">
        <v>65</v>
      </c>
    </row>
    <row r="403" spans="1:18" x14ac:dyDescent="0.2">
      <c r="A403" t="s">
        <v>611</v>
      </c>
      <c r="B403" t="s">
        <v>447</v>
      </c>
      <c r="C403" t="s">
        <v>447</v>
      </c>
      <c r="D403" t="s">
        <v>52</v>
      </c>
      <c r="E403" t="str">
        <f>"C40R1is"</f>
        <v>C40R1is</v>
      </c>
      <c r="F403" t="s">
        <v>57</v>
      </c>
      <c r="G403" t="s">
        <v>58</v>
      </c>
      <c r="H403" s="1">
        <v>42265.01</v>
      </c>
      <c r="I403" t="s">
        <v>291</v>
      </c>
      <c r="J403">
        <v>248</v>
      </c>
      <c r="K403" t="s">
        <v>612</v>
      </c>
      <c r="L403" t="s">
        <v>613</v>
      </c>
      <c r="M403" t="s">
        <v>448</v>
      </c>
      <c r="N403" t="s">
        <v>449</v>
      </c>
      <c r="O403" t="s">
        <v>450</v>
      </c>
      <c r="P403">
        <v>7774</v>
      </c>
      <c r="Q403">
        <v>4915</v>
      </c>
      <c r="R403" t="s">
        <v>65</v>
      </c>
    </row>
    <row r="404" spans="1:18" x14ac:dyDescent="0.2">
      <c r="A404" t="s">
        <v>614</v>
      </c>
      <c r="B404" t="s">
        <v>447</v>
      </c>
      <c r="C404" t="s">
        <v>447</v>
      </c>
      <c r="D404" t="s">
        <v>52</v>
      </c>
      <c r="E404" t="str">
        <f>"C40R1is"</f>
        <v>C40R1is</v>
      </c>
      <c r="F404" t="s">
        <v>67</v>
      </c>
      <c r="G404" t="s">
        <v>68</v>
      </c>
      <c r="H404" s="1">
        <v>16199.75</v>
      </c>
      <c r="I404" t="s">
        <v>296</v>
      </c>
      <c r="J404">
        <v>809</v>
      </c>
      <c r="K404" t="s">
        <v>612</v>
      </c>
      <c r="L404" t="s">
        <v>613</v>
      </c>
      <c r="M404" t="s">
        <v>448</v>
      </c>
      <c r="N404" t="s">
        <v>449</v>
      </c>
      <c r="O404" t="s">
        <v>450</v>
      </c>
      <c r="P404">
        <v>7774</v>
      </c>
      <c r="Q404">
        <v>4915</v>
      </c>
      <c r="R404" t="s">
        <v>65</v>
      </c>
    </row>
    <row r="405" spans="1:18" x14ac:dyDescent="0.2">
      <c r="A405" t="s">
        <v>615</v>
      </c>
      <c r="B405" t="s">
        <v>447</v>
      </c>
      <c r="C405" t="s">
        <v>447</v>
      </c>
      <c r="D405" t="s">
        <v>52</v>
      </c>
      <c r="E405" t="str">
        <f>"C40R2g"</f>
        <v>C40R2g</v>
      </c>
      <c r="F405" t="s">
        <v>71</v>
      </c>
      <c r="G405" t="s">
        <v>72</v>
      </c>
      <c r="H405" s="1">
        <v>215724.16</v>
      </c>
      <c r="I405" t="s">
        <v>298</v>
      </c>
      <c r="J405">
        <v>1128</v>
      </c>
      <c r="K405" t="s">
        <v>616</v>
      </c>
      <c r="L405" t="s">
        <v>617</v>
      </c>
      <c r="M405" t="s">
        <v>448</v>
      </c>
      <c r="N405" t="s">
        <v>449</v>
      </c>
      <c r="O405" t="s">
        <v>450</v>
      </c>
      <c r="P405">
        <v>7774</v>
      </c>
      <c r="Q405">
        <v>4915</v>
      </c>
      <c r="R405" t="s">
        <v>65</v>
      </c>
    </row>
    <row r="406" spans="1:18" x14ac:dyDescent="0.2">
      <c r="A406" t="s">
        <v>618</v>
      </c>
      <c r="B406" t="s">
        <v>619</v>
      </c>
      <c r="C406" t="s">
        <v>619</v>
      </c>
      <c r="D406" t="s">
        <v>52</v>
      </c>
      <c r="E406" t="str">
        <f>"C01R1is"</f>
        <v>C01R1is</v>
      </c>
      <c r="F406" t="s">
        <v>57</v>
      </c>
      <c r="G406" t="s">
        <v>58</v>
      </c>
      <c r="H406" s="1">
        <v>10189.02</v>
      </c>
      <c r="I406" t="s">
        <v>291</v>
      </c>
      <c r="J406">
        <v>209</v>
      </c>
      <c r="K406">
        <v>70160</v>
      </c>
      <c r="L406">
        <v>33824</v>
      </c>
      <c r="M406" t="s">
        <v>620</v>
      </c>
      <c r="N406" t="s">
        <v>621</v>
      </c>
      <c r="O406" t="s">
        <v>622</v>
      </c>
      <c r="P406">
        <v>6963</v>
      </c>
      <c r="Q406">
        <v>4787</v>
      </c>
      <c r="R406" t="s">
        <v>65</v>
      </c>
    </row>
    <row r="407" spans="1:18" x14ac:dyDescent="0.2">
      <c r="A407" t="s">
        <v>623</v>
      </c>
      <c r="B407" t="s">
        <v>619</v>
      </c>
      <c r="C407" t="s">
        <v>619</v>
      </c>
      <c r="D407" t="s">
        <v>52</v>
      </c>
      <c r="E407" t="str">
        <f>"C01R1is"</f>
        <v>C01R1is</v>
      </c>
      <c r="F407" t="s">
        <v>67</v>
      </c>
      <c r="G407" t="s">
        <v>68</v>
      </c>
      <c r="H407" s="1">
        <v>45090.22</v>
      </c>
      <c r="I407" t="s">
        <v>296</v>
      </c>
      <c r="J407">
        <v>3053</v>
      </c>
      <c r="K407">
        <v>70160</v>
      </c>
      <c r="L407">
        <v>33824</v>
      </c>
      <c r="M407" t="s">
        <v>620</v>
      </c>
      <c r="N407" t="s">
        <v>621</v>
      </c>
      <c r="O407" t="s">
        <v>622</v>
      </c>
      <c r="P407">
        <v>6963</v>
      </c>
      <c r="Q407">
        <v>4787</v>
      </c>
      <c r="R407" t="s">
        <v>65</v>
      </c>
    </row>
    <row r="408" spans="1:18" x14ac:dyDescent="0.2">
      <c r="A408" t="s">
        <v>624</v>
      </c>
      <c r="B408" t="s">
        <v>619</v>
      </c>
      <c r="C408" t="s">
        <v>619</v>
      </c>
      <c r="D408" t="s">
        <v>52</v>
      </c>
      <c r="E408" t="str">
        <f>"C01R2g"</f>
        <v>C01R2g</v>
      </c>
      <c r="F408" t="s">
        <v>71</v>
      </c>
      <c r="G408" t="s">
        <v>72</v>
      </c>
      <c r="H408" s="1">
        <v>297031.39</v>
      </c>
      <c r="I408" t="s">
        <v>298</v>
      </c>
      <c r="J408">
        <v>4863</v>
      </c>
      <c r="K408">
        <v>69870</v>
      </c>
      <c r="L408">
        <v>35515</v>
      </c>
      <c r="M408" t="s">
        <v>620</v>
      </c>
      <c r="N408" t="s">
        <v>621</v>
      </c>
      <c r="O408" t="s">
        <v>622</v>
      </c>
      <c r="P408">
        <v>6963</v>
      </c>
      <c r="Q408">
        <v>4787</v>
      </c>
      <c r="R408" t="s">
        <v>65</v>
      </c>
    </row>
    <row r="409" spans="1:18" x14ac:dyDescent="0.2">
      <c r="A409" t="s">
        <v>625</v>
      </c>
      <c r="B409" t="s">
        <v>619</v>
      </c>
      <c r="C409" t="s">
        <v>619</v>
      </c>
      <c r="D409" t="s">
        <v>52</v>
      </c>
      <c r="E409" t="str">
        <f>"C02R1is"</f>
        <v>C02R1is</v>
      </c>
      <c r="F409" t="s">
        <v>57</v>
      </c>
      <c r="G409" t="s">
        <v>58</v>
      </c>
      <c r="H409" s="1">
        <v>7564.77</v>
      </c>
      <c r="I409" t="s">
        <v>291</v>
      </c>
      <c r="J409">
        <v>110</v>
      </c>
      <c r="K409">
        <v>70620</v>
      </c>
      <c r="L409">
        <v>29724</v>
      </c>
      <c r="M409" t="s">
        <v>620</v>
      </c>
      <c r="N409" t="s">
        <v>621</v>
      </c>
      <c r="O409" t="s">
        <v>622</v>
      </c>
      <c r="P409">
        <v>6963</v>
      </c>
      <c r="Q409">
        <v>4787</v>
      </c>
      <c r="R409" t="s">
        <v>65</v>
      </c>
    </row>
    <row r="410" spans="1:18" x14ac:dyDescent="0.2">
      <c r="A410" t="s">
        <v>1100</v>
      </c>
      <c r="H410" s="3">
        <f>SUM(H315:H409)</f>
        <v>6603356.3099999977</v>
      </c>
    </row>
    <row r="411" spans="1:18" x14ac:dyDescent="0.2">
      <c r="A411" t="s">
        <v>626</v>
      </c>
      <c r="B411" t="s">
        <v>54</v>
      </c>
      <c r="H411" s="1"/>
    </row>
    <row r="412" spans="1:18" x14ac:dyDescent="0.2">
      <c r="A412" t="s">
        <v>627</v>
      </c>
      <c r="B412" t="s">
        <v>619</v>
      </c>
      <c r="C412" t="s">
        <v>619</v>
      </c>
      <c r="D412" t="s">
        <v>52</v>
      </c>
      <c r="E412" t="str">
        <f>"C02R1is"</f>
        <v>C02R1is</v>
      </c>
      <c r="F412" t="s">
        <v>67</v>
      </c>
      <c r="G412" t="s">
        <v>68</v>
      </c>
      <c r="H412" s="1">
        <v>50572.800000000003</v>
      </c>
      <c r="I412" t="s">
        <v>296</v>
      </c>
      <c r="J412">
        <v>3345</v>
      </c>
      <c r="K412">
        <v>70620</v>
      </c>
      <c r="L412">
        <v>29724</v>
      </c>
      <c r="M412" t="s">
        <v>620</v>
      </c>
      <c r="N412" t="s">
        <v>621</v>
      </c>
      <c r="O412" t="s">
        <v>622</v>
      </c>
      <c r="P412">
        <v>6963</v>
      </c>
      <c r="Q412">
        <v>4787</v>
      </c>
      <c r="R412" t="s">
        <v>65</v>
      </c>
    </row>
    <row r="413" spans="1:18" x14ac:dyDescent="0.2">
      <c r="A413" t="s">
        <v>628</v>
      </c>
      <c r="B413" t="s">
        <v>619</v>
      </c>
      <c r="C413" t="s">
        <v>619</v>
      </c>
      <c r="D413" t="s">
        <v>52</v>
      </c>
      <c r="E413" t="str">
        <f>"C02R2g"</f>
        <v>C02R2g</v>
      </c>
      <c r="F413" t="s">
        <v>71</v>
      </c>
      <c r="G413" t="s">
        <v>72</v>
      </c>
      <c r="H413" s="1">
        <v>293733.55</v>
      </c>
      <c r="I413" t="s">
        <v>298</v>
      </c>
      <c r="J413">
        <v>4922</v>
      </c>
      <c r="K413">
        <v>68754</v>
      </c>
      <c r="L413">
        <v>29393</v>
      </c>
      <c r="M413" t="s">
        <v>620</v>
      </c>
      <c r="N413" t="s">
        <v>621</v>
      </c>
      <c r="O413" t="s">
        <v>622</v>
      </c>
      <c r="P413">
        <v>6963</v>
      </c>
      <c r="Q413">
        <v>4787</v>
      </c>
      <c r="R413" t="s">
        <v>65</v>
      </c>
    </row>
    <row r="414" spans="1:18" x14ac:dyDescent="0.2">
      <c r="A414" t="s">
        <v>629</v>
      </c>
      <c r="B414" t="s">
        <v>619</v>
      </c>
      <c r="C414" t="s">
        <v>619</v>
      </c>
      <c r="D414" t="s">
        <v>52</v>
      </c>
      <c r="E414" t="str">
        <f>"C03R1is"</f>
        <v>C03R1is</v>
      </c>
      <c r="F414" t="s">
        <v>57</v>
      </c>
      <c r="G414" t="s">
        <v>58</v>
      </c>
      <c r="H414" s="1">
        <v>68363.240000000005</v>
      </c>
      <c r="I414" t="s">
        <v>291</v>
      </c>
      <c r="J414">
        <v>576</v>
      </c>
      <c r="K414">
        <v>71106</v>
      </c>
      <c r="L414">
        <v>25138</v>
      </c>
      <c r="M414" t="s">
        <v>620</v>
      </c>
      <c r="N414" t="s">
        <v>621</v>
      </c>
      <c r="O414" t="s">
        <v>622</v>
      </c>
      <c r="P414">
        <v>6963</v>
      </c>
      <c r="Q414">
        <v>4787</v>
      </c>
      <c r="R414" t="s">
        <v>65</v>
      </c>
    </row>
    <row r="415" spans="1:18" x14ac:dyDescent="0.2">
      <c r="A415" t="s">
        <v>630</v>
      </c>
      <c r="B415" t="s">
        <v>619</v>
      </c>
      <c r="C415" t="s">
        <v>619</v>
      </c>
      <c r="D415" t="s">
        <v>52</v>
      </c>
      <c r="E415" t="str">
        <f>"C03R1is"</f>
        <v>C03R1is</v>
      </c>
      <c r="F415" t="s">
        <v>67</v>
      </c>
      <c r="G415" t="s">
        <v>68</v>
      </c>
      <c r="H415" s="1">
        <v>26150.7</v>
      </c>
      <c r="I415" t="s">
        <v>296</v>
      </c>
      <c r="J415">
        <v>605</v>
      </c>
      <c r="K415">
        <v>71106</v>
      </c>
      <c r="L415">
        <v>25138</v>
      </c>
      <c r="M415" t="s">
        <v>620</v>
      </c>
      <c r="N415" t="s">
        <v>621</v>
      </c>
      <c r="O415" t="s">
        <v>622</v>
      </c>
      <c r="P415">
        <v>6963</v>
      </c>
      <c r="Q415">
        <v>4787</v>
      </c>
      <c r="R415" t="s">
        <v>65</v>
      </c>
    </row>
    <row r="416" spans="1:18" x14ac:dyDescent="0.2">
      <c r="A416" t="s">
        <v>631</v>
      </c>
      <c r="B416" t="s">
        <v>619</v>
      </c>
      <c r="C416" t="s">
        <v>619</v>
      </c>
      <c r="D416" t="s">
        <v>52</v>
      </c>
      <c r="E416" t="str">
        <f>"C03R2g"</f>
        <v>C03R2g</v>
      </c>
      <c r="F416" t="s">
        <v>71</v>
      </c>
      <c r="G416" t="s">
        <v>72</v>
      </c>
      <c r="H416" s="1">
        <v>119155.71</v>
      </c>
      <c r="I416" t="s">
        <v>298</v>
      </c>
      <c r="J416">
        <v>856</v>
      </c>
      <c r="K416">
        <v>69662</v>
      </c>
      <c r="L416">
        <v>23894</v>
      </c>
      <c r="M416" t="s">
        <v>620</v>
      </c>
      <c r="N416" t="s">
        <v>621</v>
      </c>
      <c r="O416" t="s">
        <v>622</v>
      </c>
      <c r="P416">
        <v>6963</v>
      </c>
      <c r="Q416">
        <v>4787</v>
      </c>
      <c r="R416" t="s">
        <v>65</v>
      </c>
    </row>
    <row r="417" spans="1:18" x14ac:dyDescent="0.2">
      <c r="A417" t="s">
        <v>632</v>
      </c>
      <c r="B417" t="s">
        <v>619</v>
      </c>
      <c r="C417" t="s">
        <v>619</v>
      </c>
      <c r="D417" t="s">
        <v>52</v>
      </c>
      <c r="E417" t="str">
        <f>"C04R1is"</f>
        <v>C04R1is</v>
      </c>
      <c r="F417" t="s">
        <v>57</v>
      </c>
      <c r="G417" t="s">
        <v>58</v>
      </c>
      <c r="H417" s="1">
        <v>27588.9</v>
      </c>
      <c r="I417" t="s">
        <v>291</v>
      </c>
      <c r="J417">
        <v>317</v>
      </c>
      <c r="K417">
        <v>69764</v>
      </c>
      <c r="L417">
        <v>15826</v>
      </c>
      <c r="M417" t="s">
        <v>620</v>
      </c>
      <c r="N417" t="s">
        <v>621</v>
      </c>
      <c r="O417" t="s">
        <v>622</v>
      </c>
      <c r="P417">
        <v>6963</v>
      </c>
      <c r="Q417">
        <v>4787</v>
      </c>
      <c r="R417" t="s">
        <v>65</v>
      </c>
    </row>
    <row r="418" spans="1:18" x14ac:dyDescent="0.2">
      <c r="A418" t="s">
        <v>633</v>
      </c>
      <c r="B418" t="s">
        <v>619</v>
      </c>
      <c r="C418" t="s">
        <v>619</v>
      </c>
      <c r="D418" t="s">
        <v>52</v>
      </c>
      <c r="E418" t="str">
        <f>"C04R1is"</f>
        <v>C04R1is</v>
      </c>
      <c r="F418" t="s">
        <v>67</v>
      </c>
      <c r="G418" t="s">
        <v>68</v>
      </c>
      <c r="H418" s="1">
        <v>16808.54</v>
      </c>
      <c r="I418" t="s">
        <v>296</v>
      </c>
      <c r="J418">
        <v>473</v>
      </c>
      <c r="K418">
        <v>69764</v>
      </c>
      <c r="L418">
        <v>15826</v>
      </c>
      <c r="M418" t="s">
        <v>620</v>
      </c>
      <c r="N418" t="s">
        <v>621</v>
      </c>
      <c r="O418" t="s">
        <v>622</v>
      </c>
      <c r="P418">
        <v>6963</v>
      </c>
      <c r="Q418">
        <v>4787</v>
      </c>
      <c r="R418" t="s">
        <v>65</v>
      </c>
    </row>
    <row r="419" spans="1:18" x14ac:dyDescent="0.2">
      <c r="A419" t="s">
        <v>634</v>
      </c>
      <c r="B419" t="s">
        <v>619</v>
      </c>
      <c r="C419" t="s">
        <v>619</v>
      </c>
      <c r="D419" t="s">
        <v>52</v>
      </c>
      <c r="E419" t="str">
        <f>"C04R2g"</f>
        <v>C04R2g</v>
      </c>
      <c r="F419" t="s">
        <v>71</v>
      </c>
      <c r="G419" t="s">
        <v>72</v>
      </c>
      <c r="H419" s="1">
        <v>99934.12</v>
      </c>
      <c r="I419" t="s">
        <v>298</v>
      </c>
      <c r="J419">
        <v>803</v>
      </c>
      <c r="K419">
        <v>71088</v>
      </c>
      <c r="L419">
        <v>15735</v>
      </c>
      <c r="M419" t="s">
        <v>620</v>
      </c>
      <c r="N419" t="s">
        <v>621</v>
      </c>
      <c r="O419" t="s">
        <v>622</v>
      </c>
      <c r="P419">
        <v>6963</v>
      </c>
      <c r="Q419">
        <v>4787</v>
      </c>
      <c r="R419" t="s">
        <v>65</v>
      </c>
    </row>
    <row r="420" spans="1:18" x14ac:dyDescent="0.2">
      <c r="A420" t="s">
        <v>635</v>
      </c>
      <c r="B420" t="s">
        <v>619</v>
      </c>
      <c r="C420" t="s">
        <v>619</v>
      </c>
      <c r="D420" t="s">
        <v>52</v>
      </c>
      <c r="E420" t="str">
        <f>"C05R1is"</f>
        <v>C05R1is</v>
      </c>
      <c r="F420" t="s">
        <v>57</v>
      </c>
      <c r="G420" t="s">
        <v>58</v>
      </c>
      <c r="H420" s="1">
        <v>11399.87</v>
      </c>
      <c r="I420" t="s">
        <v>291</v>
      </c>
      <c r="J420">
        <v>182</v>
      </c>
      <c r="K420">
        <v>64131</v>
      </c>
      <c r="L420">
        <v>37741</v>
      </c>
      <c r="M420" t="s">
        <v>620</v>
      </c>
      <c r="N420" t="s">
        <v>621</v>
      </c>
      <c r="O420" t="s">
        <v>622</v>
      </c>
      <c r="P420">
        <v>6963</v>
      </c>
      <c r="Q420">
        <v>4787</v>
      </c>
      <c r="R420" t="s">
        <v>65</v>
      </c>
    </row>
    <row r="421" spans="1:18" x14ac:dyDescent="0.2">
      <c r="A421" t="s">
        <v>636</v>
      </c>
      <c r="B421" t="s">
        <v>619</v>
      </c>
      <c r="C421" t="s">
        <v>619</v>
      </c>
      <c r="D421" t="s">
        <v>52</v>
      </c>
      <c r="E421" t="str">
        <f>"C05R1is"</f>
        <v>C05R1is</v>
      </c>
      <c r="F421" t="s">
        <v>67</v>
      </c>
      <c r="G421" t="s">
        <v>68</v>
      </c>
      <c r="H421" s="1">
        <v>44564.639999999999</v>
      </c>
      <c r="I421" t="s">
        <v>296</v>
      </c>
      <c r="J421">
        <v>2946</v>
      </c>
      <c r="K421">
        <v>64131</v>
      </c>
      <c r="L421">
        <v>37741</v>
      </c>
      <c r="M421" t="s">
        <v>620</v>
      </c>
      <c r="N421" t="s">
        <v>621</v>
      </c>
      <c r="O421" t="s">
        <v>622</v>
      </c>
      <c r="P421">
        <v>6963</v>
      </c>
      <c r="Q421">
        <v>4787</v>
      </c>
      <c r="R421" t="s">
        <v>65</v>
      </c>
    </row>
    <row r="422" spans="1:18" x14ac:dyDescent="0.2">
      <c r="A422" t="s">
        <v>637</v>
      </c>
      <c r="B422" t="s">
        <v>619</v>
      </c>
      <c r="C422" t="s">
        <v>619</v>
      </c>
      <c r="D422" t="s">
        <v>52</v>
      </c>
      <c r="E422" t="str">
        <f>"C05R2g"</f>
        <v>C05R2g</v>
      </c>
      <c r="F422" t="s">
        <v>71</v>
      </c>
      <c r="G422" t="s">
        <v>72</v>
      </c>
      <c r="H422" s="1">
        <v>272499.84999999998</v>
      </c>
      <c r="I422" t="s">
        <v>298</v>
      </c>
      <c r="J422">
        <v>4462</v>
      </c>
      <c r="K422">
        <v>62563</v>
      </c>
      <c r="L422">
        <v>36686</v>
      </c>
      <c r="M422" t="s">
        <v>620</v>
      </c>
      <c r="N422" t="s">
        <v>621</v>
      </c>
      <c r="O422" t="s">
        <v>622</v>
      </c>
      <c r="P422">
        <v>6963</v>
      </c>
      <c r="Q422">
        <v>4787</v>
      </c>
      <c r="R422" t="s">
        <v>65</v>
      </c>
    </row>
    <row r="423" spans="1:18" x14ac:dyDescent="0.2">
      <c r="A423" t="s">
        <v>638</v>
      </c>
      <c r="B423" t="s">
        <v>619</v>
      </c>
      <c r="C423" t="s">
        <v>619</v>
      </c>
      <c r="D423" t="s">
        <v>52</v>
      </c>
      <c r="E423" t="str">
        <f>"C06R1is"</f>
        <v>C06R1is</v>
      </c>
      <c r="F423" t="s">
        <v>57</v>
      </c>
      <c r="G423" t="s">
        <v>58</v>
      </c>
      <c r="H423" s="1">
        <v>12062.1</v>
      </c>
      <c r="I423" t="s">
        <v>291</v>
      </c>
      <c r="J423">
        <v>186</v>
      </c>
      <c r="K423" t="s">
        <v>639</v>
      </c>
      <c r="L423" t="s">
        <v>640</v>
      </c>
      <c r="M423" t="s">
        <v>620</v>
      </c>
      <c r="N423" t="s">
        <v>621</v>
      </c>
      <c r="O423" t="s">
        <v>622</v>
      </c>
      <c r="P423">
        <v>6963</v>
      </c>
      <c r="Q423">
        <v>4787</v>
      </c>
      <c r="R423" t="s">
        <v>65</v>
      </c>
    </row>
    <row r="424" spans="1:18" x14ac:dyDescent="0.2">
      <c r="A424" t="s">
        <v>641</v>
      </c>
      <c r="B424" t="s">
        <v>619</v>
      </c>
      <c r="C424" t="s">
        <v>619</v>
      </c>
      <c r="D424" t="s">
        <v>52</v>
      </c>
      <c r="E424" t="str">
        <f>"C06R1is"</f>
        <v>C06R1is</v>
      </c>
      <c r="F424" t="s">
        <v>67</v>
      </c>
      <c r="G424" t="s">
        <v>68</v>
      </c>
      <c r="H424" s="1">
        <v>27706.82</v>
      </c>
      <c r="I424" t="s">
        <v>296</v>
      </c>
      <c r="J424">
        <v>1850</v>
      </c>
      <c r="K424" t="s">
        <v>639</v>
      </c>
      <c r="L424" t="s">
        <v>640</v>
      </c>
      <c r="M424" t="s">
        <v>620</v>
      </c>
      <c r="N424" t="s">
        <v>621</v>
      </c>
      <c r="O424" t="s">
        <v>622</v>
      </c>
      <c r="P424">
        <v>6963</v>
      </c>
      <c r="Q424">
        <v>4787</v>
      </c>
      <c r="R424" t="s">
        <v>65</v>
      </c>
    </row>
    <row r="425" spans="1:18" x14ac:dyDescent="0.2">
      <c r="A425" t="s">
        <v>642</v>
      </c>
      <c r="B425" t="s">
        <v>619</v>
      </c>
      <c r="C425" t="s">
        <v>619</v>
      </c>
      <c r="D425" t="s">
        <v>52</v>
      </c>
      <c r="E425" t="str">
        <f>"C06R2g"</f>
        <v>C06R2g</v>
      </c>
      <c r="F425" t="s">
        <v>71</v>
      </c>
      <c r="G425" t="s">
        <v>72</v>
      </c>
      <c r="H425" s="1">
        <v>262591.62</v>
      </c>
      <c r="I425" t="s">
        <v>298</v>
      </c>
      <c r="J425">
        <v>3218</v>
      </c>
      <c r="K425" t="s">
        <v>643</v>
      </c>
      <c r="L425" t="s">
        <v>644</v>
      </c>
      <c r="M425" t="s">
        <v>620</v>
      </c>
      <c r="N425" t="s">
        <v>621</v>
      </c>
      <c r="O425" t="s">
        <v>622</v>
      </c>
      <c r="P425">
        <v>6963</v>
      </c>
      <c r="Q425">
        <v>4787</v>
      </c>
      <c r="R425" t="s">
        <v>65</v>
      </c>
    </row>
    <row r="426" spans="1:18" x14ac:dyDescent="0.2">
      <c r="A426" t="s">
        <v>645</v>
      </c>
      <c r="B426" t="s">
        <v>619</v>
      </c>
      <c r="C426" t="s">
        <v>619</v>
      </c>
      <c r="D426" t="s">
        <v>52</v>
      </c>
      <c r="E426" t="str">
        <f>"C07R1is"</f>
        <v>C07R1is</v>
      </c>
      <c r="F426" t="s">
        <v>57</v>
      </c>
      <c r="G426" t="s">
        <v>58</v>
      </c>
      <c r="H426" s="1">
        <v>15491.45</v>
      </c>
      <c r="I426" t="s">
        <v>291</v>
      </c>
      <c r="J426">
        <v>167</v>
      </c>
      <c r="K426">
        <v>64330</v>
      </c>
      <c r="L426">
        <v>22922</v>
      </c>
      <c r="M426" t="s">
        <v>620</v>
      </c>
      <c r="N426" t="s">
        <v>621</v>
      </c>
      <c r="O426" t="s">
        <v>622</v>
      </c>
      <c r="P426">
        <v>6963</v>
      </c>
      <c r="Q426">
        <v>4787</v>
      </c>
      <c r="R426" t="s">
        <v>65</v>
      </c>
    </row>
    <row r="427" spans="1:18" x14ac:dyDescent="0.2">
      <c r="A427" t="s">
        <v>646</v>
      </c>
      <c r="B427" t="s">
        <v>619</v>
      </c>
      <c r="C427" t="s">
        <v>619</v>
      </c>
      <c r="D427" t="s">
        <v>52</v>
      </c>
      <c r="E427" t="str">
        <f>"C07R1is"</f>
        <v>C07R1is</v>
      </c>
      <c r="F427" t="s">
        <v>67</v>
      </c>
      <c r="G427" t="s">
        <v>68</v>
      </c>
      <c r="H427" s="1">
        <v>9726.9500000000007</v>
      </c>
      <c r="I427" t="s">
        <v>296</v>
      </c>
      <c r="J427">
        <v>722</v>
      </c>
      <c r="K427">
        <v>64330</v>
      </c>
      <c r="L427">
        <v>22922</v>
      </c>
      <c r="M427" t="s">
        <v>620</v>
      </c>
      <c r="N427" t="s">
        <v>621</v>
      </c>
      <c r="O427" t="s">
        <v>622</v>
      </c>
      <c r="P427">
        <v>6963</v>
      </c>
      <c r="Q427">
        <v>4787</v>
      </c>
      <c r="R427" t="s">
        <v>65</v>
      </c>
    </row>
    <row r="428" spans="1:18" x14ac:dyDescent="0.2">
      <c r="A428" t="s">
        <v>647</v>
      </c>
      <c r="B428" t="s">
        <v>619</v>
      </c>
      <c r="C428" t="s">
        <v>619</v>
      </c>
      <c r="D428" t="s">
        <v>52</v>
      </c>
      <c r="E428" t="str">
        <f>"C07R2g"</f>
        <v>C07R2g</v>
      </c>
      <c r="F428" t="s">
        <v>71</v>
      </c>
      <c r="G428" t="s">
        <v>72</v>
      </c>
      <c r="H428" s="1">
        <v>233006.92</v>
      </c>
      <c r="I428" t="s">
        <v>298</v>
      </c>
      <c r="J428">
        <v>1546</v>
      </c>
      <c r="K428">
        <v>65452</v>
      </c>
      <c r="L428">
        <v>24152</v>
      </c>
      <c r="M428" t="s">
        <v>620</v>
      </c>
      <c r="N428" t="s">
        <v>621</v>
      </c>
      <c r="O428" t="s">
        <v>622</v>
      </c>
      <c r="P428">
        <v>6963</v>
      </c>
      <c r="Q428">
        <v>4787</v>
      </c>
      <c r="R428" t="s">
        <v>65</v>
      </c>
    </row>
    <row r="429" spans="1:18" x14ac:dyDescent="0.2">
      <c r="A429" t="s">
        <v>648</v>
      </c>
      <c r="B429" t="s">
        <v>619</v>
      </c>
      <c r="C429" t="s">
        <v>619</v>
      </c>
      <c r="D429" t="s">
        <v>52</v>
      </c>
      <c r="E429" t="str">
        <f>"C08R1is"</f>
        <v>C08R1is</v>
      </c>
      <c r="F429" t="s">
        <v>57</v>
      </c>
      <c r="G429" t="s">
        <v>58</v>
      </c>
      <c r="H429" s="1">
        <v>6939.02</v>
      </c>
      <c r="I429" t="s">
        <v>291</v>
      </c>
      <c r="J429">
        <v>74</v>
      </c>
      <c r="K429">
        <v>63749</v>
      </c>
      <c r="L429">
        <v>17547</v>
      </c>
      <c r="M429" t="s">
        <v>620</v>
      </c>
      <c r="N429" t="s">
        <v>621</v>
      </c>
      <c r="O429" t="s">
        <v>622</v>
      </c>
      <c r="P429">
        <v>6963</v>
      </c>
      <c r="Q429">
        <v>4787</v>
      </c>
      <c r="R429" t="s">
        <v>65</v>
      </c>
    </row>
    <row r="430" spans="1:18" x14ac:dyDescent="0.2">
      <c r="A430" t="s">
        <v>649</v>
      </c>
      <c r="B430" t="s">
        <v>619</v>
      </c>
      <c r="C430" t="s">
        <v>619</v>
      </c>
      <c r="D430" t="s">
        <v>52</v>
      </c>
      <c r="E430" t="str">
        <f>"C08R1is"</f>
        <v>C08R1is</v>
      </c>
      <c r="F430" t="s">
        <v>67</v>
      </c>
      <c r="G430" t="s">
        <v>68</v>
      </c>
      <c r="H430" s="1">
        <v>3503.43</v>
      </c>
      <c r="I430" t="s">
        <v>296</v>
      </c>
      <c r="J430">
        <v>319</v>
      </c>
      <c r="K430">
        <v>63749</v>
      </c>
      <c r="L430">
        <v>17547</v>
      </c>
      <c r="M430" t="s">
        <v>620</v>
      </c>
      <c r="N430" t="s">
        <v>621</v>
      </c>
      <c r="O430" t="s">
        <v>622</v>
      </c>
      <c r="P430">
        <v>6963</v>
      </c>
      <c r="Q430">
        <v>4787</v>
      </c>
      <c r="R430" t="s">
        <v>65</v>
      </c>
    </row>
    <row r="431" spans="1:18" x14ac:dyDescent="0.2">
      <c r="A431" t="s">
        <v>650</v>
      </c>
      <c r="B431" t="s">
        <v>619</v>
      </c>
      <c r="C431" t="s">
        <v>619</v>
      </c>
      <c r="D431" t="s">
        <v>52</v>
      </c>
      <c r="E431" t="str">
        <f>"C08R2g"</f>
        <v>C08R2g</v>
      </c>
      <c r="F431" t="s">
        <v>71</v>
      </c>
      <c r="G431" t="s">
        <v>72</v>
      </c>
      <c r="H431" s="1">
        <v>162707.9</v>
      </c>
      <c r="I431" t="s">
        <v>298</v>
      </c>
      <c r="J431">
        <v>938</v>
      </c>
      <c r="K431">
        <v>64510</v>
      </c>
      <c r="L431">
        <v>16026</v>
      </c>
      <c r="M431" t="s">
        <v>620</v>
      </c>
      <c r="N431" t="s">
        <v>621</v>
      </c>
      <c r="O431" t="s">
        <v>622</v>
      </c>
      <c r="P431">
        <v>6963</v>
      </c>
      <c r="Q431">
        <v>4787</v>
      </c>
      <c r="R431" t="s">
        <v>65</v>
      </c>
    </row>
    <row r="432" spans="1:18" x14ac:dyDescent="0.2">
      <c r="A432" t="s">
        <v>651</v>
      </c>
      <c r="B432" t="s">
        <v>619</v>
      </c>
      <c r="C432" t="s">
        <v>619</v>
      </c>
      <c r="D432" t="s">
        <v>52</v>
      </c>
      <c r="E432" t="str">
        <f>"C09R1is"</f>
        <v>C09R1is</v>
      </c>
      <c r="F432" t="s">
        <v>57</v>
      </c>
      <c r="G432" t="s">
        <v>58</v>
      </c>
      <c r="H432" s="1">
        <v>10416.379999999999</v>
      </c>
      <c r="I432" t="s">
        <v>291</v>
      </c>
      <c r="J432">
        <v>140</v>
      </c>
      <c r="K432">
        <v>57581</v>
      </c>
      <c r="L432">
        <v>37933</v>
      </c>
      <c r="M432" t="s">
        <v>620</v>
      </c>
      <c r="N432" t="s">
        <v>621</v>
      </c>
      <c r="O432" t="s">
        <v>622</v>
      </c>
      <c r="P432">
        <v>6963</v>
      </c>
      <c r="Q432">
        <v>4787</v>
      </c>
      <c r="R432" t="s">
        <v>65</v>
      </c>
    </row>
    <row r="433" spans="1:18" x14ac:dyDescent="0.2">
      <c r="A433" t="s">
        <v>652</v>
      </c>
      <c r="B433" t="s">
        <v>619</v>
      </c>
      <c r="C433" t="s">
        <v>619</v>
      </c>
      <c r="D433" t="s">
        <v>52</v>
      </c>
      <c r="E433" t="str">
        <f>"C09R1is"</f>
        <v>C09R1is</v>
      </c>
      <c r="F433" t="s">
        <v>67</v>
      </c>
      <c r="G433" t="s">
        <v>68</v>
      </c>
      <c r="H433" s="1">
        <v>12798.24</v>
      </c>
      <c r="I433" t="s">
        <v>296</v>
      </c>
      <c r="J433">
        <v>1038</v>
      </c>
      <c r="K433">
        <v>57581</v>
      </c>
      <c r="L433">
        <v>37933</v>
      </c>
      <c r="M433" t="s">
        <v>620</v>
      </c>
      <c r="N433" t="s">
        <v>621</v>
      </c>
      <c r="O433" t="s">
        <v>622</v>
      </c>
      <c r="P433">
        <v>6963</v>
      </c>
      <c r="Q433">
        <v>4787</v>
      </c>
      <c r="R433" t="s">
        <v>65</v>
      </c>
    </row>
    <row r="434" spans="1:18" x14ac:dyDescent="0.2">
      <c r="A434" t="s">
        <v>653</v>
      </c>
      <c r="B434" t="s">
        <v>619</v>
      </c>
      <c r="C434" t="s">
        <v>619</v>
      </c>
      <c r="D434" t="s">
        <v>52</v>
      </c>
      <c r="E434" t="str">
        <f>"C09R2g"</f>
        <v>C09R2g</v>
      </c>
      <c r="F434" t="s">
        <v>71</v>
      </c>
      <c r="G434" t="s">
        <v>72</v>
      </c>
      <c r="H434" s="1">
        <v>229652.77</v>
      </c>
      <c r="I434" t="s">
        <v>298</v>
      </c>
      <c r="J434">
        <v>2181</v>
      </c>
      <c r="K434">
        <v>57225</v>
      </c>
      <c r="L434">
        <v>36019</v>
      </c>
      <c r="M434" t="s">
        <v>620</v>
      </c>
      <c r="N434" t="s">
        <v>621</v>
      </c>
      <c r="O434" t="s">
        <v>622</v>
      </c>
      <c r="P434">
        <v>6963</v>
      </c>
      <c r="Q434">
        <v>4787</v>
      </c>
      <c r="R434" t="s">
        <v>65</v>
      </c>
    </row>
    <row r="435" spans="1:18" x14ac:dyDescent="0.2">
      <c r="A435" t="s">
        <v>654</v>
      </c>
      <c r="B435" t="s">
        <v>619</v>
      </c>
      <c r="C435" t="s">
        <v>619</v>
      </c>
      <c r="D435" t="s">
        <v>52</v>
      </c>
      <c r="E435" t="str">
        <f>"C10R1is"</f>
        <v>C10R1is</v>
      </c>
      <c r="F435" t="s">
        <v>57</v>
      </c>
      <c r="G435" t="s">
        <v>58</v>
      </c>
      <c r="H435" s="1">
        <v>8494.83</v>
      </c>
      <c r="I435" t="s">
        <v>291</v>
      </c>
      <c r="J435">
        <v>168</v>
      </c>
      <c r="K435">
        <v>58274</v>
      </c>
      <c r="L435">
        <v>29940</v>
      </c>
      <c r="M435" t="s">
        <v>620</v>
      </c>
      <c r="N435" t="s">
        <v>621</v>
      </c>
      <c r="O435" t="s">
        <v>622</v>
      </c>
      <c r="P435">
        <v>6963</v>
      </c>
      <c r="Q435">
        <v>4787</v>
      </c>
      <c r="R435" t="s">
        <v>65</v>
      </c>
    </row>
    <row r="436" spans="1:18" x14ac:dyDescent="0.2">
      <c r="A436" t="s">
        <v>655</v>
      </c>
      <c r="B436" t="s">
        <v>619</v>
      </c>
      <c r="C436" t="s">
        <v>619</v>
      </c>
      <c r="D436" t="s">
        <v>52</v>
      </c>
      <c r="E436" t="str">
        <f>"C10R1is"</f>
        <v>C10R1is</v>
      </c>
      <c r="F436" t="s">
        <v>67</v>
      </c>
      <c r="G436" t="s">
        <v>68</v>
      </c>
      <c r="H436" s="1">
        <v>10042.469999999999</v>
      </c>
      <c r="I436" t="s">
        <v>296</v>
      </c>
      <c r="J436">
        <v>682</v>
      </c>
      <c r="K436">
        <v>58274</v>
      </c>
      <c r="L436">
        <v>29940</v>
      </c>
      <c r="M436" t="s">
        <v>620</v>
      </c>
      <c r="N436" t="s">
        <v>621</v>
      </c>
      <c r="O436" t="s">
        <v>622</v>
      </c>
      <c r="P436">
        <v>6963</v>
      </c>
      <c r="Q436">
        <v>4787</v>
      </c>
      <c r="R436" t="s">
        <v>65</v>
      </c>
    </row>
    <row r="437" spans="1:18" x14ac:dyDescent="0.2">
      <c r="A437" t="s">
        <v>656</v>
      </c>
      <c r="B437" t="s">
        <v>619</v>
      </c>
      <c r="C437" t="s">
        <v>619</v>
      </c>
      <c r="D437" t="s">
        <v>52</v>
      </c>
      <c r="E437" t="str">
        <f>"C10R2g"</f>
        <v>C10R2g</v>
      </c>
      <c r="F437" t="s">
        <v>71</v>
      </c>
      <c r="G437" t="s">
        <v>72</v>
      </c>
      <c r="H437" s="1">
        <v>261339.65</v>
      </c>
      <c r="I437" t="s">
        <v>298</v>
      </c>
      <c r="J437">
        <v>2223</v>
      </c>
      <c r="K437">
        <v>59150</v>
      </c>
      <c r="L437">
        <v>29110</v>
      </c>
      <c r="M437" t="s">
        <v>620</v>
      </c>
      <c r="N437" t="s">
        <v>621</v>
      </c>
      <c r="O437" t="s">
        <v>622</v>
      </c>
      <c r="P437">
        <v>6963</v>
      </c>
      <c r="Q437">
        <v>4787</v>
      </c>
      <c r="R437" t="s">
        <v>65</v>
      </c>
    </row>
    <row r="438" spans="1:18" x14ac:dyDescent="0.2">
      <c r="A438" t="s">
        <v>657</v>
      </c>
      <c r="B438" t="s">
        <v>619</v>
      </c>
      <c r="C438" t="s">
        <v>619</v>
      </c>
      <c r="D438" t="s">
        <v>52</v>
      </c>
      <c r="E438" t="str">
        <f>"C11R1is"</f>
        <v>C11R1is</v>
      </c>
      <c r="F438" t="s">
        <v>57</v>
      </c>
      <c r="G438" t="s">
        <v>58</v>
      </c>
      <c r="H438" s="1">
        <v>46769.54</v>
      </c>
      <c r="I438" t="s">
        <v>291</v>
      </c>
      <c r="J438">
        <v>399</v>
      </c>
      <c r="K438">
        <v>58353</v>
      </c>
      <c r="L438">
        <v>21598</v>
      </c>
      <c r="M438" t="s">
        <v>620</v>
      </c>
      <c r="N438" t="s">
        <v>621</v>
      </c>
      <c r="O438" t="s">
        <v>622</v>
      </c>
      <c r="P438">
        <v>6963</v>
      </c>
      <c r="Q438">
        <v>4787</v>
      </c>
      <c r="R438" t="s">
        <v>65</v>
      </c>
    </row>
    <row r="439" spans="1:18" x14ac:dyDescent="0.2">
      <c r="A439" t="s">
        <v>658</v>
      </c>
      <c r="B439" t="s">
        <v>619</v>
      </c>
      <c r="C439" t="s">
        <v>619</v>
      </c>
      <c r="D439" t="s">
        <v>52</v>
      </c>
      <c r="E439" t="str">
        <f>"C11R1is"</f>
        <v>C11R1is</v>
      </c>
      <c r="F439" t="s">
        <v>67</v>
      </c>
      <c r="G439" t="s">
        <v>68</v>
      </c>
      <c r="H439" s="1">
        <v>3904.54</v>
      </c>
      <c r="I439" t="s">
        <v>296</v>
      </c>
      <c r="J439">
        <v>168</v>
      </c>
      <c r="K439">
        <v>58353</v>
      </c>
      <c r="L439">
        <v>21598</v>
      </c>
      <c r="M439" t="s">
        <v>620</v>
      </c>
      <c r="N439" t="s">
        <v>621</v>
      </c>
      <c r="O439" t="s">
        <v>622</v>
      </c>
      <c r="P439">
        <v>6963</v>
      </c>
      <c r="Q439">
        <v>4787</v>
      </c>
      <c r="R439" t="s">
        <v>65</v>
      </c>
    </row>
    <row r="440" spans="1:18" x14ac:dyDescent="0.2">
      <c r="A440" t="s">
        <v>659</v>
      </c>
      <c r="B440" t="s">
        <v>619</v>
      </c>
      <c r="C440" t="s">
        <v>619</v>
      </c>
      <c r="D440" t="s">
        <v>52</v>
      </c>
      <c r="E440" t="str">
        <f>"C11R2g"</f>
        <v>C11R2g</v>
      </c>
      <c r="F440" t="s">
        <v>71</v>
      </c>
      <c r="G440" t="s">
        <v>72</v>
      </c>
      <c r="H440" s="1">
        <v>218001.7</v>
      </c>
      <c r="I440" t="s">
        <v>298</v>
      </c>
      <c r="J440">
        <v>1093</v>
      </c>
      <c r="K440">
        <v>59105</v>
      </c>
      <c r="L440">
        <v>22738</v>
      </c>
      <c r="M440" t="s">
        <v>620</v>
      </c>
      <c r="N440" t="s">
        <v>621</v>
      </c>
      <c r="O440" t="s">
        <v>622</v>
      </c>
      <c r="P440">
        <v>6963</v>
      </c>
      <c r="Q440">
        <v>4787</v>
      </c>
      <c r="R440" t="s">
        <v>65</v>
      </c>
    </row>
    <row r="441" spans="1:18" x14ac:dyDescent="0.2">
      <c r="A441" t="s">
        <v>660</v>
      </c>
      <c r="B441" t="s">
        <v>619</v>
      </c>
      <c r="C441" t="s">
        <v>619</v>
      </c>
      <c r="D441" t="s">
        <v>52</v>
      </c>
      <c r="E441" t="str">
        <f>"C12R1is"</f>
        <v>C12R1is</v>
      </c>
      <c r="F441" t="s">
        <v>57</v>
      </c>
      <c r="G441" t="s">
        <v>58</v>
      </c>
      <c r="H441" s="1">
        <v>10719.89</v>
      </c>
      <c r="I441" t="s">
        <v>291</v>
      </c>
      <c r="J441">
        <v>114</v>
      </c>
      <c r="K441" t="s">
        <v>661</v>
      </c>
      <c r="L441" t="s">
        <v>662</v>
      </c>
      <c r="M441" t="s">
        <v>620</v>
      </c>
      <c r="N441" t="s">
        <v>621</v>
      </c>
      <c r="O441" t="s">
        <v>622</v>
      </c>
      <c r="P441">
        <v>6963</v>
      </c>
      <c r="Q441">
        <v>4787</v>
      </c>
      <c r="R441" t="s">
        <v>65</v>
      </c>
    </row>
    <row r="442" spans="1:18" x14ac:dyDescent="0.2">
      <c r="A442" t="s">
        <v>663</v>
      </c>
      <c r="B442" t="s">
        <v>619</v>
      </c>
      <c r="C442" t="s">
        <v>619</v>
      </c>
      <c r="D442" t="s">
        <v>52</v>
      </c>
      <c r="E442" t="str">
        <f>"C12R1is"</f>
        <v>C12R1is</v>
      </c>
      <c r="F442" t="s">
        <v>67</v>
      </c>
      <c r="G442" t="s">
        <v>68</v>
      </c>
      <c r="H442" s="1">
        <v>7657.09</v>
      </c>
      <c r="I442" t="s">
        <v>296</v>
      </c>
      <c r="J442">
        <v>223</v>
      </c>
      <c r="K442" t="s">
        <v>661</v>
      </c>
      <c r="L442" t="s">
        <v>662</v>
      </c>
      <c r="M442" t="s">
        <v>620</v>
      </c>
      <c r="N442" t="s">
        <v>621</v>
      </c>
      <c r="O442" t="s">
        <v>622</v>
      </c>
      <c r="P442">
        <v>6963</v>
      </c>
      <c r="Q442">
        <v>4787</v>
      </c>
      <c r="R442" t="s">
        <v>65</v>
      </c>
    </row>
    <row r="443" spans="1:18" x14ac:dyDescent="0.2">
      <c r="A443" t="s">
        <v>664</v>
      </c>
      <c r="B443" t="s">
        <v>619</v>
      </c>
      <c r="C443" t="s">
        <v>619</v>
      </c>
      <c r="D443" t="s">
        <v>52</v>
      </c>
      <c r="E443" t="str">
        <f>"C12R2g"</f>
        <v>C12R2g</v>
      </c>
      <c r="F443" t="s">
        <v>71</v>
      </c>
      <c r="G443" t="s">
        <v>72</v>
      </c>
      <c r="H443" s="1">
        <v>299904.27</v>
      </c>
      <c r="I443" t="s">
        <v>298</v>
      </c>
      <c r="J443">
        <v>1739</v>
      </c>
      <c r="K443" t="s">
        <v>665</v>
      </c>
      <c r="L443" t="s">
        <v>666</v>
      </c>
      <c r="M443" t="s">
        <v>620</v>
      </c>
      <c r="N443" t="s">
        <v>621</v>
      </c>
      <c r="O443" t="s">
        <v>622</v>
      </c>
      <c r="P443">
        <v>6963</v>
      </c>
      <c r="Q443">
        <v>4787</v>
      </c>
      <c r="R443" t="s">
        <v>65</v>
      </c>
    </row>
    <row r="444" spans="1:18" x14ac:dyDescent="0.2">
      <c r="A444" t="s">
        <v>667</v>
      </c>
      <c r="B444" t="s">
        <v>619</v>
      </c>
      <c r="C444" t="s">
        <v>619</v>
      </c>
      <c r="D444" t="s">
        <v>52</v>
      </c>
      <c r="E444" t="str">
        <f>"C15R1is"</f>
        <v>C15R1is</v>
      </c>
      <c r="F444" t="s">
        <v>57</v>
      </c>
      <c r="G444" t="s">
        <v>58</v>
      </c>
      <c r="H444" s="1">
        <v>11652.03</v>
      </c>
      <c r="I444" t="s">
        <v>291</v>
      </c>
      <c r="J444">
        <v>201</v>
      </c>
      <c r="K444">
        <v>53184</v>
      </c>
      <c r="L444">
        <v>21728</v>
      </c>
      <c r="M444" t="s">
        <v>620</v>
      </c>
      <c r="N444" t="s">
        <v>621</v>
      </c>
      <c r="O444" t="s">
        <v>622</v>
      </c>
      <c r="P444">
        <v>6963</v>
      </c>
      <c r="Q444">
        <v>4787</v>
      </c>
      <c r="R444" t="s">
        <v>65</v>
      </c>
    </row>
    <row r="445" spans="1:18" x14ac:dyDescent="0.2">
      <c r="A445" t="s">
        <v>668</v>
      </c>
      <c r="B445" t="s">
        <v>619</v>
      </c>
      <c r="C445" t="s">
        <v>619</v>
      </c>
      <c r="D445" t="s">
        <v>52</v>
      </c>
      <c r="E445" t="str">
        <f>"C15R1is"</f>
        <v>C15R1is</v>
      </c>
      <c r="F445" t="s">
        <v>67</v>
      </c>
      <c r="G445" t="s">
        <v>68</v>
      </c>
      <c r="H445" s="1">
        <v>2763.77</v>
      </c>
      <c r="I445" t="s">
        <v>296</v>
      </c>
      <c r="J445">
        <v>144</v>
      </c>
      <c r="K445">
        <v>53184</v>
      </c>
      <c r="L445">
        <v>21728</v>
      </c>
      <c r="M445" t="s">
        <v>620</v>
      </c>
      <c r="N445" t="s">
        <v>621</v>
      </c>
      <c r="O445" t="s">
        <v>622</v>
      </c>
      <c r="P445">
        <v>6963</v>
      </c>
      <c r="Q445">
        <v>4787</v>
      </c>
      <c r="R445" t="s">
        <v>65</v>
      </c>
    </row>
    <row r="446" spans="1:18" x14ac:dyDescent="0.2">
      <c r="A446" t="s">
        <v>669</v>
      </c>
      <c r="B446" t="s">
        <v>619</v>
      </c>
      <c r="C446" t="s">
        <v>619</v>
      </c>
      <c r="D446" t="s">
        <v>52</v>
      </c>
      <c r="E446" t="str">
        <f>"C15R2g"</f>
        <v>C15R2g</v>
      </c>
      <c r="F446" t="s">
        <v>71</v>
      </c>
      <c r="G446" t="s">
        <v>72</v>
      </c>
      <c r="H446" s="1">
        <v>199094.18</v>
      </c>
      <c r="I446" t="s">
        <v>298</v>
      </c>
      <c r="J446">
        <v>1487</v>
      </c>
      <c r="K446">
        <v>54932</v>
      </c>
      <c r="L446">
        <v>22431</v>
      </c>
      <c r="M446" t="s">
        <v>620</v>
      </c>
      <c r="N446" t="s">
        <v>621</v>
      </c>
      <c r="O446" t="s">
        <v>622</v>
      </c>
      <c r="P446">
        <v>6963</v>
      </c>
      <c r="Q446">
        <v>4787</v>
      </c>
      <c r="R446" t="s">
        <v>65</v>
      </c>
    </row>
    <row r="447" spans="1:18" x14ac:dyDescent="0.2">
      <c r="A447" t="s">
        <v>670</v>
      </c>
      <c r="B447" t="s">
        <v>619</v>
      </c>
      <c r="C447" t="s">
        <v>619</v>
      </c>
      <c r="D447" t="s">
        <v>52</v>
      </c>
      <c r="E447" t="str">
        <f>"C16R1is"</f>
        <v>C16R1is</v>
      </c>
      <c r="F447" t="s">
        <v>57</v>
      </c>
      <c r="G447" t="s">
        <v>58</v>
      </c>
      <c r="H447" s="1">
        <v>7267.34</v>
      </c>
      <c r="I447" t="s">
        <v>291</v>
      </c>
      <c r="J447">
        <v>126</v>
      </c>
      <c r="K447">
        <v>49454</v>
      </c>
      <c r="L447">
        <v>11504</v>
      </c>
      <c r="M447" t="s">
        <v>620</v>
      </c>
      <c r="N447" t="s">
        <v>621</v>
      </c>
      <c r="O447" t="s">
        <v>622</v>
      </c>
      <c r="P447">
        <v>6963</v>
      </c>
      <c r="Q447">
        <v>4787</v>
      </c>
      <c r="R447" t="s">
        <v>65</v>
      </c>
    </row>
    <row r="448" spans="1:18" x14ac:dyDescent="0.2">
      <c r="A448" t="s">
        <v>671</v>
      </c>
      <c r="B448" t="s">
        <v>619</v>
      </c>
      <c r="C448" t="s">
        <v>619</v>
      </c>
      <c r="D448" t="s">
        <v>52</v>
      </c>
      <c r="E448" t="str">
        <f>"C16R1is"</f>
        <v>C16R1is</v>
      </c>
      <c r="F448" t="s">
        <v>67</v>
      </c>
      <c r="G448" t="s">
        <v>68</v>
      </c>
      <c r="H448" s="1">
        <v>1415.8</v>
      </c>
      <c r="I448" t="s">
        <v>296</v>
      </c>
      <c r="J448">
        <v>103</v>
      </c>
      <c r="K448">
        <v>49454</v>
      </c>
      <c r="L448">
        <v>11504</v>
      </c>
      <c r="M448" t="s">
        <v>620</v>
      </c>
      <c r="N448" t="s">
        <v>621</v>
      </c>
      <c r="O448" t="s">
        <v>622</v>
      </c>
      <c r="P448">
        <v>6963</v>
      </c>
      <c r="Q448">
        <v>4787</v>
      </c>
      <c r="R448" t="s">
        <v>65</v>
      </c>
    </row>
    <row r="449" spans="1:18" x14ac:dyDescent="0.2">
      <c r="A449" t="s">
        <v>672</v>
      </c>
      <c r="B449" t="s">
        <v>619</v>
      </c>
      <c r="C449" t="s">
        <v>619</v>
      </c>
      <c r="D449" t="s">
        <v>52</v>
      </c>
      <c r="E449" t="str">
        <f>"C16R2g"</f>
        <v>C16R2g</v>
      </c>
      <c r="F449" t="s">
        <v>71</v>
      </c>
      <c r="G449" t="s">
        <v>72</v>
      </c>
      <c r="H449" s="1">
        <v>186929.52</v>
      </c>
      <c r="I449" t="s">
        <v>298</v>
      </c>
      <c r="J449">
        <v>984</v>
      </c>
      <c r="K449">
        <v>51406</v>
      </c>
      <c r="L449">
        <v>11039</v>
      </c>
      <c r="M449" t="s">
        <v>620</v>
      </c>
      <c r="N449" t="s">
        <v>621</v>
      </c>
      <c r="O449" t="s">
        <v>622</v>
      </c>
      <c r="P449">
        <v>6963</v>
      </c>
      <c r="Q449">
        <v>4787</v>
      </c>
      <c r="R449" t="s">
        <v>65</v>
      </c>
    </row>
    <row r="450" spans="1:18" x14ac:dyDescent="0.2">
      <c r="A450" t="s">
        <v>673</v>
      </c>
      <c r="B450" t="s">
        <v>619</v>
      </c>
      <c r="C450" t="s">
        <v>619</v>
      </c>
      <c r="D450" t="s">
        <v>52</v>
      </c>
      <c r="E450" t="str">
        <f>"C18R1is"</f>
        <v>C18R1is</v>
      </c>
      <c r="F450" t="s">
        <v>57</v>
      </c>
      <c r="G450" t="s">
        <v>58</v>
      </c>
      <c r="H450" s="1">
        <v>54516.86</v>
      </c>
      <c r="I450" t="s">
        <v>291</v>
      </c>
      <c r="J450">
        <v>700</v>
      </c>
      <c r="K450">
        <v>47925</v>
      </c>
      <c r="L450">
        <v>24324</v>
      </c>
      <c r="M450" t="s">
        <v>620</v>
      </c>
      <c r="N450" t="s">
        <v>621</v>
      </c>
      <c r="O450" t="s">
        <v>622</v>
      </c>
      <c r="P450">
        <v>6963</v>
      </c>
      <c r="Q450">
        <v>4787</v>
      </c>
      <c r="R450" t="s">
        <v>65</v>
      </c>
    </row>
    <row r="451" spans="1:18" x14ac:dyDescent="0.2">
      <c r="A451" t="s">
        <v>674</v>
      </c>
      <c r="B451" t="s">
        <v>619</v>
      </c>
      <c r="C451" t="s">
        <v>619</v>
      </c>
      <c r="D451" t="s">
        <v>52</v>
      </c>
      <c r="E451" t="str">
        <f>"C18R1is"</f>
        <v>C18R1is</v>
      </c>
      <c r="F451" t="s">
        <v>67</v>
      </c>
      <c r="G451" t="s">
        <v>68</v>
      </c>
      <c r="H451" s="1">
        <v>20183.97</v>
      </c>
      <c r="I451" t="s">
        <v>296</v>
      </c>
      <c r="J451">
        <v>1078</v>
      </c>
      <c r="K451">
        <v>47925</v>
      </c>
      <c r="L451">
        <v>24324</v>
      </c>
      <c r="M451" t="s">
        <v>620</v>
      </c>
      <c r="N451" t="s">
        <v>621</v>
      </c>
      <c r="O451" t="s">
        <v>622</v>
      </c>
      <c r="P451">
        <v>6963</v>
      </c>
      <c r="Q451">
        <v>4787</v>
      </c>
      <c r="R451" t="s">
        <v>65</v>
      </c>
    </row>
    <row r="452" spans="1:18" x14ac:dyDescent="0.2">
      <c r="A452" t="s">
        <v>675</v>
      </c>
      <c r="B452" t="s">
        <v>619</v>
      </c>
      <c r="C452" t="s">
        <v>619</v>
      </c>
      <c r="D452" t="s">
        <v>52</v>
      </c>
      <c r="E452" t="str">
        <f>"C18R2g"</f>
        <v>C18R2g</v>
      </c>
      <c r="F452" t="s">
        <v>71</v>
      </c>
      <c r="G452" t="s">
        <v>72</v>
      </c>
      <c r="H452" s="1">
        <v>155523.6</v>
      </c>
      <c r="I452" t="s">
        <v>298</v>
      </c>
      <c r="J452">
        <v>2359</v>
      </c>
      <c r="K452">
        <v>48472</v>
      </c>
      <c r="L452">
        <v>25561</v>
      </c>
      <c r="M452" t="s">
        <v>620</v>
      </c>
      <c r="N452" t="s">
        <v>621</v>
      </c>
      <c r="O452" t="s">
        <v>622</v>
      </c>
      <c r="P452">
        <v>6963</v>
      </c>
      <c r="Q452">
        <v>4787</v>
      </c>
      <c r="R452" t="s">
        <v>65</v>
      </c>
    </row>
    <row r="453" spans="1:18" x14ac:dyDescent="0.2">
      <c r="A453" t="s">
        <v>676</v>
      </c>
      <c r="B453" t="s">
        <v>619</v>
      </c>
      <c r="C453" t="s">
        <v>619</v>
      </c>
      <c r="D453" t="s">
        <v>52</v>
      </c>
      <c r="E453" t="str">
        <f>"C19R1is"</f>
        <v>C19R1is</v>
      </c>
      <c r="F453" t="s">
        <v>57</v>
      </c>
      <c r="G453" t="s">
        <v>58</v>
      </c>
      <c r="H453" s="1">
        <v>17884.830000000002</v>
      </c>
      <c r="I453" t="s">
        <v>291</v>
      </c>
      <c r="J453">
        <v>170</v>
      </c>
      <c r="K453">
        <v>45178</v>
      </c>
      <c r="L453">
        <v>20724</v>
      </c>
      <c r="M453" t="s">
        <v>620</v>
      </c>
      <c r="N453" t="s">
        <v>621</v>
      </c>
      <c r="O453" t="s">
        <v>622</v>
      </c>
      <c r="P453">
        <v>6963</v>
      </c>
      <c r="Q453">
        <v>4787</v>
      </c>
      <c r="R453" t="s">
        <v>65</v>
      </c>
    </row>
    <row r="454" spans="1:18" x14ac:dyDescent="0.2">
      <c r="A454" t="s">
        <v>677</v>
      </c>
      <c r="B454" t="s">
        <v>619</v>
      </c>
      <c r="C454" t="s">
        <v>619</v>
      </c>
      <c r="D454" t="s">
        <v>52</v>
      </c>
      <c r="E454" t="str">
        <f>"C19R1is"</f>
        <v>C19R1is</v>
      </c>
      <c r="F454" t="s">
        <v>67</v>
      </c>
      <c r="G454" t="s">
        <v>68</v>
      </c>
      <c r="H454" s="1">
        <v>24518.9</v>
      </c>
      <c r="I454" t="s">
        <v>296</v>
      </c>
      <c r="J454">
        <v>978</v>
      </c>
      <c r="K454">
        <v>45178</v>
      </c>
      <c r="L454">
        <v>20724</v>
      </c>
      <c r="M454" t="s">
        <v>620</v>
      </c>
      <c r="N454" t="s">
        <v>621</v>
      </c>
      <c r="O454" t="s">
        <v>622</v>
      </c>
      <c r="P454">
        <v>6963</v>
      </c>
      <c r="Q454">
        <v>4787</v>
      </c>
      <c r="R454" t="s">
        <v>65</v>
      </c>
    </row>
    <row r="455" spans="1:18" x14ac:dyDescent="0.2">
      <c r="A455" t="s">
        <v>678</v>
      </c>
      <c r="B455" t="s">
        <v>619</v>
      </c>
      <c r="C455" t="s">
        <v>619</v>
      </c>
      <c r="D455" t="s">
        <v>52</v>
      </c>
      <c r="E455" t="str">
        <f>"C19R2g"</f>
        <v>C19R2g</v>
      </c>
      <c r="F455" t="s">
        <v>71</v>
      </c>
      <c r="G455" t="s">
        <v>72</v>
      </c>
      <c r="H455" s="1">
        <v>140474.22</v>
      </c>
      <c r="I455" t="s">
        <v>298</v>
      </c>
      <c r="J455">
        <v>852</v>
      </c>
      <c r="K455">
        <v>44556</v>
      </c>
      <c r="L455">
        <v>19112</v>
      </c>
      <c r="M455" t="s">
        <v>620</v>
      </c>
      <c r="N455" t="s">
        <v>621</v>
      </c>
      <c r="O455" t="s">
        <v>622</v>
      </c>
      <c r="P455">
        <v>6963</v>
      </c>
      <c r="Q455">
        <v>4787</v>
      </c>
      <c r="R455" t="s">
        <v>65</v>
      </c>
    </row>
    <row r="456" spans="1:18" x14ac:dyDescent="0.2">
      <c r="A456" t="s">
        <v>679</v>
      </c>
      <c r="B456" t="s">
        <v>619</v>
      </c>
      <c r="C456" t="s">
        <v>619</v>
      </c>
      <c r="D456" t="s">
        <v>52</v>
      </c>
      <c r="E456" t="str">
        <f>"C20R1is"</f>
        <v>C20R1is</v>
      </c>
      <c r="F456" t="s">
        <v>57</v>
      </c>
      <c r="G456" t="s">
        <v>58</v>
      </c>
      <c r="H456" s="1">
        <v>30360.35</v>
      </c>
      <c r="I456" t="s">
        <v>291</v>
      </c>
      <c r="J456">
        <v>348</v>
      </c>
      <c r="K456">
        <v>46991</v>
      </c>
      <c r="L456">
        <v>15602</v>
      </c>
      <c r="M456" t="s">
        <v>620</v>
      </c>
      <c r="N456" t="s">
        <v>621</v>
      </c>
      <c r="O456" t="s">
        <v>622</v>
      </c>
      <c r="P456">
        <v>6963</v>
      </c>
      <c r="Q456">
        <v>4787</v>
      </c>
      <c r="R456" t="s">
        <v>65</v>
      </c>
    </row>
    <row r="457" spans="1:18" x14ac:dyDescent="0.2">
      <c r="A457" t="s">
        <v>680</v>
      </c>
      <c r="B457" t="s">
        <v>619</v>
      </c>
      <c r="C457" t="s">
        <v>619</v>
      </c>
      <c r="D457" t="s">
        <v>52</v>
      </c>
      <c r="E457" t="str">
        <f>"C20R1is"</f>
        <v>C20R1is</v>
      </c>
      <c r="F457" t="s">
        <v>67</v>
      </c>
      <c r="G457" t="s">
        <v>68</v>
      </c>
      <c r="H457" s="1">
        <v>7294.22</v>
      </c>
      <c r="I457" t="s">
        <v>296</v>
      </c>
      <c r="J457">
        <v>347</v>
      </c>
      <c r="K457">
        <v>46991</v>
      </c>
      <c r="L457">
        <v>15602</v>
      </c>
      <c r="M457" t="s">
        <v>620</v>
      </c>
      <c r="N457" t="s">
        <v>621</v>
      </c>
      <c r="O457" t="s">
        <v>622</v>
      </c>
      <c r="P457">
        <v>6963</v>
      </c>
      <c r="Q457">
        <v>4787</v>
      </c>
      <c r="R457" t="s">
        <v>65</v>
      </c>
    </row>
    <row r="458" spans="1:18" x14ac:dyDescent="0.2">
      <c r="A458" t="s">
        <v>681</v>
      </c>
      <c r="B458" t="s">
        <v>619</v>
      </c>
      <c r="C458" t="s">
        <v>619</v>
      </c>
      <c r="D458" t="s">
        <v>52</v>
      </c>
      <c r="E458" t="str">
        <f>"C20R2g"</f>
        <v>C20R2g</v>
      </c>
      <c r="F458" t="s">
        <v>71</v>
      </c>
      <c r="G458" t="s">
        <v>72</v>
      </c>
      <c r="H458" s="1">
        <v>142582.79999999999</v>
      </c>
      <c r="I458" t="s">
        <v>298</v>
      </c>
      <c r="J458">
        <v>888</v>
      </c>
      <c r="K458">
        <v>48031</v>
      </c>
      <c r="L458">
        <v>14909</v>
      </c>
      <c r="M458" t="s">
        <v>620</v>
      </c>
      <c r="N458" t="s">
        <v>621</v>
      </c>
      <c r="O458" t="s">
        <v>622</v>
      </c>
      <c r="P458">
        <v>6963</v>
      </c>
      <c r="Q458">
        <v>4787</v>
      </c>
      <c r="R458" t="s">
        <v>65</v>
      </c>
    </row>
    <row r="459" spans="1:18" x14ac:dyDescent="0.2">
      <c r="A459" t="s">
        <v>682</v>
      </c>
      <c r="B459" t="s">
        <v>619</v>
      </c>
      <c r="C459" t="s">
        <v>619</v>
      </c>
      <c r="D459" t="s">
        <v>52</v>
      </c>
      <c r="E459" t="str">
        <f>"C21R1is"</f>
        <v>C21R1is</v>
      </c>
      <c r="F459" t="s">
        <v>57</v>
      </c>
      <c r="G459" t="s">
        <v>58</v>
      </c>
      <c r="H459" s="1">
        <v>39847.47</v>
      </c>
      <c r="I459" t="s">
        <v>291</v>
      </c>
      <c r="J459">
        <v>470</v>
      </c>
      <c r="K459" t="s">
        <v>683</v>
      </c>
      <c r="L459" t="s">
        <v>684</v>
      </c>
      <c r="M459" t="s">
        <v>620</v>
      </c>
      <c r="N459" t="s">
        <v>621</v>
      </c>
      <c r="O459" t="s">
        <v>622</v>
      </c>
      <c r="P459">
        <v>6963</v>
      </c>
      <c r="Q459">
        <v>4787</v>
      </c>
      <c r="R459" t="s">
        <v>65</v>
      </c>
    </row>
    <row r="460" spans="1:18" x14ac:dyDescent="0.2">
      <c r="A460" t="s">
        <v>685</v>
      </c>
      <c r="B460" t="s">
        <v>619</v>
      </c>
      <c r="C460" t="s">
        <v>619</v>
      </c>
      <c r="D460" t="s">
        <v>52</v>
      </c>
      <c r="E460" t="str">
        <f>"C21R1is"</f>
        <v>C21R1is</v>
      </c>
      <c r="F460" t="s">
        <v>67</v>
      </c>
      <c r="G460" t="s">
        <v>68</v>
      </c>
      <c r="H460" s="1">
        <v>13357.1</v>
      </c>
      <c r="I460" t="s">
        <v>296</v>
      </c>
      <c r="J460">
        <v>1012</v>
      </c>
      <c r="K460" t="s">
        <v>683</v>
      </c>
      <c r="L460" t="s">
        <v>684</v>
      </c>
      <c r="M460" t="s">
        <v>620</v>
      </c>
      <c r="N460" t="s">
        <v>621</v>
      </c>
      <c r="O460" t="s">
        <v>622</v>
      </c>
      <c r="P460">
        <v>6963</v>
      </c>
      <c r="Q460">
        <v>4787</v>
      </c>
      <c r="R460" t="s">
        <v>65</v>
      </c>
    </row>
    <row r="461" spans="1:18" x14ac:dyDescent="0.2">
      <c r="A461" t="s">
        <v>686</v>
      </c>
      <c r="B461" t="s">
        <v>619</v>
      </c>
      <c r="C461" t="s">
        <v>619</v>
      </c>
      <c r="D461" t="s">
        <v>52</v>
      </c>
      <c r="E461" t="str">
        <f>"C21R2g"</f>
        <v>C21R2g</v>
      </c>
      <c r="F461" t="s">
        <v>71</v>
      </c>
      <c r="G461" t="s">
        <v>72</v>
      </c>
      <c r="H461" s="1">
        <v>251993.32</v>
      </c>
      <c r="I461" t="s">
        <v>298</v>
      </c>
      <c r="J461">
        <v>3629</v>
      </c>
      <c r="K461" t="s">
        <v>687</v>
      </c>
      <c r="L461" t="s">
        <v>688</v>
      </c>
      <c r="M461" t="s">
        <v>620</v>
      </c>
      <c r="N461" t="s">
        <v>621</v>
      </c>
      <c r="O461" t="s">
        <v>622</v>
      </c>
      <c r="P461">
        <v>6963</v>
      </c>
      <c r="Q461">
        <v>4787</v>
      </c>
      <c r="R461" t="s">
        <v>65</v>
      </c>
    </row>
    <row r="462" spans="1:18" x14ac:dyDescent="0.2">
      <c r="A462" t="s">
        <v>689</v>
      </c>
      <c r="B462" t="s">
        <v>619</v>
      </c>
      <c r="C462" t="s">
        <v>619</v>
      </c>
      <c r="D462" t="s">
        <v>52</v>
      </c>
      <c r="E462" t="str">
        <f>"C22R1is"</f>
        <v>C22R1is</v>
      </c>
      <c r="F462" t="s">
        <v>57</v>
      </c>
      <c r="G462" t="s">
        <v>58</v>
      </c>
      <c r="H462" s="1">
        <v>31902.880000000001</v>
      </c>
      <c r="I462" t="s">
        <v>291</v>
      </c>
      <c r="J462">
        <v>412</v>
      </c>
      <c r="K462" t="s">
        <v>690</v>
      </c>
      <c r="L462" t="s">
        <v>691</v>
      </c>
      <c r="M462" t="s">
        <v>620</v>
      </c>
      <c r="N462" t="s">
        <v>621</v>
      </c>
      <c r="O462" t="s">
        <v>622</v>
      </c>
      <c r="P462">
        <v>6963</v>
      </c>
      <c r="Q462">
        <v>4787</v>
      </c>
      <c r="R462" t="s">
        <v>65</v>
      </c>
    </row>
    <row r="463" spans="1:18" x14ac:dyDescent="0.2">
      <c r="A463" t="s">
        <v>692</v>
      </c>
      <c r="B463" t="s">
        <v>619</v>
      </c>
      <c r="C463" t="s">
        <v>619</v>
      </c>
      <c r="D463" t="s">
        <v>52</v>
      </c>
      <c r="E463" t="str">
        <f>"C22R1is"</f>
        <v>C22R1is</v>
      </c>
      <c r="F463" t="s">
        <v>67</v>
      </c>
      <c r="G463" t="s">
        <v>68</v>
      </c>
      <c r="H463" s="1">
        <v>24778.09</v>
      </c>
      <c r="I463" t="s">
        <v>296</v>
      </c>
      <c r="J463">
        <v>1903</v>
      </c>
      <c r="K463" t="s">
        <v>690</v>
      </c>
      <c r="L463" t="s">
        <v>691</v>
      </c>
      <c r="M463" t="s">
        <v>620</v>
      </c>
      <c r="N463" t="s">
        <v>621</v>
      </c>
      <c r="O463" t="s">
        <v>622</v>
      </c>
      <c r="P463">
        <v>6963</v>
      </c>
      <c r="Q463">
        <v>4787</v>
      </c>
      <c r="R463" t="s">
        <v>65</v>
      </c>
    </row>
    <row r="464" spans="1:18" x14ac:dyDescent="0.2">
      <c r="A464" t="s">
        <v>693</v>
      </c>
      <c r="B464" t="s">
        <v>619</v>
      </c>
      <c r="C464" t="s">
        <v>619</v>
      </c>
      <c r="D464" t="s">
        <v>52</v>
      </c>
      <c r="E464" t="str">
        <f>"C22R2g"</f>
        <v>C22R2g</v>
      </c>
      <c r="F464" t="s">
        <v>71</v>
      </c>
      <c r="G464" t="s">
        <v>72</v>
      </c>
      <c r="H464" s="1">
        <v>243643.93</v>
      </c>
      <c r="I464" t="s">
        <v>298</v>
      </c>
      <c r="J464">
        <v>3534</v>
      </c>
      <c r="K464" t="s">
        <v>694</v>
      </c>
      <c r="L464" t="s">
        <v>695</v>
      </c>
      <c r="M464" t="s">
        <v>620</v>
      </c>
      <c r="N464" t="s">
        <v>621</v>
      </c>
      <c r="O464" t="s">
        <v>622</v>
      </c>
      <c r="P464">
        <v>6963</v>
      </c>
      <c r="Q464">
        <v>4787</v>
      </c>
      <c r="R464" t="s">
        <v>65</v>
      </c>
    </row>
    <row r="465" spans="1:18" x14ac:dyDescent="0.2">
      <c r="A465" t="s">
        <v>696</v>
      </c>
      <c r="B465" t="s">
        <v>619</v>
      </c>
      <c r="C465" t="s">
        <v>619</v>
      </c>
      <c r="D465" t="s">
        <v>52</v>
      </c>
      <c r="E465" t="str">
        <f>"C23R1is"</f>
        <v>C23R1is</v>
      </c>
      <c r="F465" t="s">
        <v>57</v>
      </c>
      <c r="G465" t="s">
        <v>58</v>
      </c>
      <c r="H465" s="1">
        <v>9626.48</v>
      </c>
      <c r="I465" t="s">
        <v>291</v>
      </c>
      <c r="J465">
        <v>150</v>
      </c>
      <c r="K465" t="s">
        <v>697</v>
      </c>
      <c r="L465" t="s">
        <v>698</v>
      </c>
      <c r="M465" t="s">
        <v>620</v>
      </c>
      <c r="N465" t="s">
        <v>621</v>
      </c>
      <c r="O465" t="s">
        <v>622</v>
      </c>
      <c r="P465">
        <v>6963</v>
      </c>
      <c r="Q465">
        <v>4787</v>
      </c>
      <c r="R465" t="s">
        <v>65</v>
      </c>
    </row>
    <row r="466" spans="1:18" x14ac:dyDescent="0.2">
      <c r="A466" t="s">
        <v>699</v>
      </c>
      <c r="B466" t="s">
        <v>619</v>
      </c>
      <c r="C466" t="s">
        <v>619</v>
      </c>
      <c r="D466" t="s">
        <v>52</v>
      </c>
      <c r="E466" t="str">
        <f>"C23R1is"</f>
        <v>C23R1is</v>
      </c>
      <c r="F466" t="s">
        <v>67</v>
      </c>
      <c r="G466" t="s">
        <v>68</v>
      </c>
      <c r="H466" s="1">
        <v>19706.38</v>
      </c>
      <c r="I466" t="s">
        <v>296</v>
      </c>
      <c r="J466">
        <v>1317</v>
      </c>
      <c r="K466" t="s">
        <v>697</v>
      </c>
      <c r="L466" t="s">
        <v>698</v>
      </c>
      <c r="M466" t="s">
        <v>620</v>
      </c>
      <c r="N466" t="s">
        <v>621</v>
      </c>
      <c r="O466" t="s">
        <v>622</v>
      </c>
      <c r="P466">
        <v>6963</v>
      </c>
      <c r="Q466">
        <v>4787</v>
      </c>
      <c r="R466" t="s">
        <v>65</v>
      </c>
    </row>
    <row r="467" spans="1:18" x14ac:dyDescent="0.2">
      <c r="A467" t="s">
        <v>700</v>
      </c>
      <c r="B467" t="s">
        <v>619</v>
      </c>
      <c r="C467" t="s">
        <v>619</v>
      </c>
      <c r="D467" t="s">
        <v>52</v>
      </c>
      <c r="E467" t="str">
        <f>"C23R2g"</f>
        <v>C23R2g</v>
      </c>
      <c r="F467" t="s">
        <v>71</v>
      </c>
      <c r="G467" t="s">
        <v>72</v>
      </c>
      <c r="H467" s="1">
        <v>283204.06</v>
      </c>
      <c r="I467" t="s">
        <v>298</v>
      </c>
      <c r="J467">
        <v>2735</v>
      </c>
      <c r="K467" t="s">
        <v>701</v>
      </c>
      <c r="L467" t="s">
        <v>702</v>
      </c>
      <c r="M467" t="s">
        <v>620</v>
      </c>
      <c r="N467" t="s">
        <v>621</v>
      </c>
      <c r="O467" t="s">
        <v>622</v>
      </c>
      <c r="P467">
        <v>6963</v>
      </c>
      <c r="Q467">
        <v>4787</v>
      </c>
      <c r="R467" t="s">
        <v>65</v>
      </c>
    </row>
    <row r="468" spans="1:18" x14ac:dyDescent="0.2">
      <c r="A468" t="s">
        <v>703</v>
      </c>
      <c r="B468" t="s">
        <v>619</v>
      </c>
      <c r="C468" t="s">
        <v>619</v>
      </c>
      <c r="D468" t="s">
        <v>52</v>
      </c>
      <c r="E468" t="str">
        <f>"C24R1is"</f>
        <v>C24R1is</v>
      </c>
      <c r="F468" t="s">
        <v>57</v>
      </c>
      <c r="G468" t="s">
        <v>58</v>
      </c>
      <c r="H468" s="1">
        <v>11233.32</v>
      </c>
      <c r="I468" t="s">
        <v>291</v>
      </c>
      <c r="J468">
        <v>170</v>
      </c>
      <c r="K468" t="s">
        <v>704</v>
      </c>
      <c r="L468" t="s">
        <v>705</v>
      </c>
      <c r="M468" t="s">
        <v>620</v>
      </c>
      <c r="N468" t="s">
        <v>621</v>
      </c>
      <c r="O468" t="s">
        <v>622</v>
      </c>
      <c r="P468">
        <v>6963</v>
      </c>
      <c r="Q468">
        <v>4787</v>
      </c>
      <c r="R468" t="s">
        <v>65</v>
      </c>
    </row>
    <row r="469" spans="1:18" x14ac:dyDescent="0.2">
      <c r="A469" t="s">
        <v>706</v>
      </c>
      <c r="B469" t="s">
        <v>619</v>
      </c>
      <c r="C469" t="s">
        <v>619</v>
      </c>
      <c r="D469" t="s">
        <v>52</v>
      </c>
      <c r="E469" t="str">
        <f>"C24R1is"</f>
        <v>C24R1is</v>
      </c>
      <c r="F469" t="s">
        <v>67</v>
      </c>
      <c r="G469" t="s">
        <v>68</v>
      </c>
      <c r="H469" s="1">
        <v>13906.85</v>
      </c>
      <c r="I469" t="s">
        <v>296</v>
      </c>
      <c r="J469">
        <v>970</v>
      </c>
      <c r="K469" t="s">
        <v>704</v>
      </c>
      <c r="L469" t="s">
        <v>705</v>
      </c>
      <c r="M469" t="s">
        <v>620</v>
      </c>
      <c r="N469" t="s">
        <v>621</v>
      </c>
      <c r="O469" t="s">
        <v>622</v>
      </c>
      <c r="P469">
        <v>6963</v>
      </c>
      <c r="Q469">
        <v>4787</v>
      </c>
      <c r="R469" t="s">
        <v>65</v>
      </c>
    </row>
    <row r="470" spans="1:18" x14ac:dyDescent="0.2">
      <c r="A470" t="s">
        <v>707</v>
      </c>
      <c r="B470" t="s">
        <v>619</v>
      </c>
      <c r="C470" t="s">
        <v>619</v>
      </c>
      <c r="D470" t="s">
        <v>52</v>
      </c>
      <c r="E470" t="str">
        <f>"C24R2g"</f>
        <v>C24R2g</v>
      </c>
      <c r="F470" t="s">
        <v>71</v>
      </c>
      <c r="G470" t="s">
        <v>72</v>
      </c>
      <c r="H470" s="1">
        <v>226003.74</v>
      </c>
      <c r="I470" t="s">
        <v>298</v>
      </c>
      <c r="J470">
        <v>1565</v>
      </c>
      <c r="K470">
        <v>38794</v>
      </c>
      <c r="L470">
        <v>16820</v>
      </c>
      <c r="M470" t="s">
        <v>620</v>
      </c>
      <c r="N470" t="s">
        <v>621</v>
      </c>
      <c r="O470" t="s">
        <v>622</v>
      </c>
      <c r="P470">
        <v>6963</v>
      </c>
      <c r="Q470">
        <v>4787</v>
      </c>
      <c r="R470" t="s">
        <v>65</v>
      </c>
    </row>
    <row r="471" spans="1:18" x14ac:dyDescent="0.2">
      <c r="A471" t="s">
        <v>708</v>
      </c>
      <c r="B471" t="s">
        <v>619</v>
      </c>
      <c r="C471" t="s">
        <v>619</v>
      </c>
      <c r="D471" t="s">
        <v>52</v>
      </c>
      <c r="E471" t="str">
        <f>"C25R1is"</f>
        <v>C25R1is</v>
      </c>
      <c r="F471" t="s">
        <v>57</v>
      </c>
      <c r="G471" t="s">
        <v>58</v>
      </c>
      <c r="H471" s="1">
        <v>16807.259999999998</v>
      </c>
      <c r="I471" t="s">
        <v>291</v>
      </c>
      <c r="J471">
        <v>179</v>
      </c>
      <c r="K471">
        <v>33980</v>
      </c>
      <c r="L471">
        <v>37279</v>
      </c>
      <c r="M471" t="s">
        <v>620</v>
      </c>
      <c r="N471" t="s">
        <v>621</v>
      </c>
      <c r="O471" t="s">
        <v>622</v>
      </c>
      <c r="P471">
        <v>6963</v>
      </c>
      <c r="Q471">
        <v>4787</v>
      </c>
      <c r="R471" t="s">
        <v>65</v>
      </c>
    </row>
    <row r="472" spans="1:18" x14ac:dyDescent="0.2">
      <c r="A472" t="s">
        <v>709</v>
      </c>
      <c r="B472" t="s">
        <v>619</v>
      </c>
      <c r="C472" t="s">
        <v>619</v>
      </c>
      <c r="D472" t="s">
        <v>52</v>
      </c>
      <c r="E472" t="str">
        <f>"C25R1is"</f>
        <v>C25R1is</v>
      </c>
      <c r="F472" t="s">
        <v>67</v>
      </c>
      <c r="G472" t="s">
        <v>68</v>
      </c>
      <c r="H472" s="1">
        <v>43240.19</v>
      </c>
      <c r="I472" t="s">
        <v>296</v>
      </c>
      <c r="J472">
        <v>2695</v>
      </c>
      <c r="K472">
        <v>33980</v>
      </c>
      <c r="L472">
        <v>37279</v>
      </c>
      <c r="M472" t="s">
        <v>620</v>
      </c>
      <c r="N472" t="s">
        <v>621</v>
      </c>
      <c r="O472" t="s">
        <v>622</v>
      </c>
      <c r="P472">
        <v>6963</v>
      </c>
      <c r="Q472">
        <v>4787</v>
      </c>
      <c r="R472" t="s">
        <v>65</v>
      </c>
    </row>
    <row r="473" spans="1:18" x14ac:dyDescent="0.2">
      <c r="A473" t="s">
        <v>710</v>
      </c>
      <c r="B473" t="s">
        <v>619</v>
      </c>
      <c r="C473" t="s">
        <v>619</v>
      </c>
      <c r="D473" t="s">
        <v>52</v>
      </c>
      <c r="E473" t="str">
        <f>"C25R2g"</f>
        <v>C25R2g</v>
      </c>
      <c r="F473" t="s">
        <v>71</v>
      </c>
      <c r="G473" t="s">
        <v>72</v>
      </c>
      <c r="H473" s="1">
        <v>291289.77</v>
      </c>
      <c r="I473" t="s">
        <v>298</v>
      </c>
      <c r="J473">
        <v>4890</v>
      </c>
      <c r="K473">
        <v>33483</v>
      </c>
      <c r="L473">
        <v>35857</v>
      </c>
      <c r="M473" t="s">
        <v>620</v>
      </c>
      <c r="N473" t="s">
        <v>621</v>
      </c>
      <c r="O473" t="s">
        <v>622</v>
      </c>
      <c r="P473">
        <v>6963</v>
      </c>
      <c r="Q473">
        <v>4787</v>
      </c>
      <c r="R473" t="s">
        <v>65</v>
      </c>
    </row>
    <row r="474" spans="1:18" x14ac:dyDescent="0.2">
      <c r="A474" t="s">
        <v>711</v>
      </c>
      <c r="B474" t="s">
        <v>619</v>
      </c>
      <c r="C474" t="s">
        <v>619</v>
      </c>
      <c r="D474" t="s">
        <v>52</v>
      </c>
      <c r="E474" t="str">
        <f>"C26R1is"</f>
        <v>C26R1is</v>
      </c>
      <c r="F474" t="s">
        <v>57</v>
      </c>
      <c r="G474" t="s">
        <v>58</v>
      </c>
      <c r="H474" s="1">
        <v>35469.51</v>
      </c>
      <c r="I474" t="s">
        <v>291</v>
      </c>
      <c r="J474">
        <v>397</v>
      </c>
      <c r="K474">
        <v>34687</v>
      </c>
      <c r="L474">
        <v>28713</v>
      </c>
      <c r="M474" t="s">
        <v>620</v>
      </c>
      <c r="N474" t="s">
        <v>621</v>
      </c>
      <c r="O474" t="s">
        <v>622</v>
      </c>
      <c r="P474">
        <v>6963</v>
      </c>
      <c r="Q474">
        <v>4787</v>
      </c>
      <c r="R474" t="s">
        <v>65</v>
      </c>
    </row>
    <row r="475" spans="1:18" x14ac:dyDescent="0.2">
      <c r="A475" t="s">
        <v>712</v>
      </c>
      <c r="B475" t="s">
        <v>619</v>
      </c>
      <c r="C475" t="s">
        <v>619</v>
      </c>
      <c r="D475" t="s">
        <v>52</v>
      </c>
      <c r="E475" t="str">
        <f>"C26R1is"</f>
        <v>C26R1is</v>
      </c>
      <c r="F475" t="s">
        <v>67</v>
      </c>
      <c r="G475" t="s">
        <v>68</v>
      </c>
      <c r="H475" s="1">
        <v>36236.050000000003</v>
      </c>
      <c r="I475" t="s">
        <v>296</v>
      </c>
      <c r="J475">
        <v>2410</v>
      </c>
      <c r="K475">
        <v>34687</v>
      </c>
      <c r="L475">
        <v>28713</v>
      </c>
      <c r="M475" t="s">
        <v>620</v>
      </c>
      <c r="N475" t="s">
        <v>621</v>
      </c>
      <c r="O475" t="s">
        <v>622</v>
      </c>
      <c r="P475">
        <v>6963</v>
      </c>
      <c r="Q475">
        <v>4787</v>
      </c>
      <c r="R475" t="s">
        <v>65</v>
      </c>
    </row>
    <row r="476" spans="1:18" x14ac:dyDescent="0.2">
      <c r="A476" t="s">
        <v>713</v>
      </c>
      <c r="B476" t="s">
        <v>619</v>
      </c>
      <c r="C476" t="s">
        <v>619</v>
      </c>
      <c r="D476" t="s">
        <v>52</v>
      </c>
      <c r="E476" t="str">
        <f>"C26R2g"</f>
        <v>C26R2g</v>
      </c>
      <c r="F476" t="s">
        <v>71</v>
      </c>
      <c r="G476" t="s">
        <v>72</v>
      </c>
      <c r="H476" s="1">
        <v>161192.57</v>
      </c>
      <c r="I476" t="s">
        <v>298</v>
      </c>
      <c r="J476">
        <v>2790</v>
      </c>
      <c r="K476">
        <v>32834</v>
      </c>
      <c r="L476">
        <v>30859</v>
      </c>
      <c r="M476" t="s">
        <v>620</v>
      </c>
      <c r="N476" t="s">
        <v>621</v>
      </c>
      <c r="O476" t="s">
        <v>622</v>
      </c>
      <c r="P476">
        <v>6963</v>
      </c>
      <c r="Q476">
        <v>4787</v>
      </c>
      <c r="R476" t="s">
        <v>65</v>
      </c>
    </row>
    <row r="477" spans="1:18" x14ac:dyDescent="0.2">
      <c r="A477" t="s">
        <v>714</v>
      </c>
      <c r="B477" t="s">
        <v>619</v>
      </c>
      <c r="C477" t="s">
        <v>619</v>
      </c>
      <c r="D477" t="s">
        <v>52</v>
      </c>
      <c r="E477" t="str">
        <f>"C27R1is"</f>
        <v>C27R1is</v>
      </c>
      <c r="F477" t="s">
        <v>57</v>
      </c>
      <c r="G477" t="s">
        <v>58</v>
      </c>
      <c r="H477" s="1">
        <v>60566.95</v>
      </c>
      <c r="I477" t="s">
        <v>487</v>
      </c>
      <c r="J477">
        <v>921</v>
      </c>
      <c r="K477" t="s">
        <v>715</v>
      </c>
      <c r="L477" t="s">
        <v>716</v>
      </c>
      <c r="M477" t="s">
        <v>620</v>
      </c>
      <c r="N477" t="s">
        <v>621</v>
      </c>
      <c r="O477" t="s">
        <v>622</v>
      </c>
      <c r="P477">
        <v>6963</v>
      </c>
      <c r="Q477">
        <v>4787</v>
      </c>
      <c r="R477" t="s">
        <v>65</v>
      </c>
    </row>
    <row r="478" spans="1:18" x14ac:dyDescent="0.2">
      <c r="A478" t="s">
        <v>717</v>
      </c>
      <c r="B478" t="s">
        <v>619</v>
      </c>
      <c r="C478" t="s">
        <v>619</v>
      </c>
      <c r="D478" t="s">
        <v>52</v>
      </c>
      <c r="E478" t="str">
        <f>"C27R1is"</f>
        <v>C27R1is</v>
      </c>
      <c r="F478" t="s">
        <v>67</v>
      </c>
      <c r="G478" t="s">
        <v>68</v>
      </c>
      <c r="H478" s="1">
        <v>16091.75</v>
      </c>
      <c r="I478" t="s">
        <v>489</v>
      </c>
      <c r="J478">
        <v>934</v>
      </c>
      <c r="K478" t="s">
        <v>715</v>
      </c>
      <c r="L478" t="s">
        <v>716</v>
      </c>
      <c r="M478" t="s">
        <v>620</v>
      </c>
      <c r="N478" t="s">
        <v>621</v>
      </c>
      <c r="O478" t="s">
        <v>622</v>
      </c>
      <c r="P478">
        <v>6963</v>
      </c>
      <c r="Q478">
        <v>4787</v>
      </c>
      <c r="R478" t="s">
        <v>65</v>
      </c>
    </row>
    <row r="479" spans="1:18" x14ac:dyDescent="0.2">
      <c r="A479" t="s">
        <v>718</v>
      </c>
      <c r="B479" t="s">
        <v>619</v>
      </c>
      <c r="C479" t="s">
        <v>619</v>
      </c>
      <c r="D479" t="s">
        <v>52</v>
      </c>
      <c r="E479" t="str">
        <f>"C27R2g"</f>
        <v>C27R2g</v>
      </c>
      <c r="F479" t="s">
        <v>71</v>
      </c>
      <c r="G479" t="s">
        <v>72</v>
      </c>
      <c r="H479" s="1">
        <v>243353.38</v>
      </c>
      <c r="I479" t="s">
        <v>298</v>
      </c>
      <c r="J479">
        <v>2027</v>
      </c>
      <c r="K479" t="s">
        <v>719</v>
      </c>
      <c r="L479" t="s">
        <v>720</v>
      </c>
      <c r="M479" t="s">
        <v>620</v>
      </c>
      <c r="N479" t="s">
        <v>621</v>
      </c>
      <c r="O479" t="s">
        <v>622</v>
      </c>
      <c r="P479">
        <v>6963</v>
      </c>
      <c r="Q479">
        <v>4787</v>
      </c>
      <c r="R479" t="s">
        <v>65</v>
      </c>
    </row>
    <row r="480" spans="1:18" x14ac:dyDescent="0.2">
      <c r="A480" t="s">
        <v>721</v>
      </c>
      <c r="B480" t="s">
        <v>619</v>
      </c>
      <c r="C480" t="s">
        <v>619</v>
      </c>
      <c r="D480" t="s">
        <v>52</v>
      </c>
      <c r="E480" t="str">
        <f>"C28R1is"</f>
        <v>C28R1is</v>
      </c>
      <c r="F480" t="s">
        <v>57</v>
      </c>
      <c r="G480" t="s">
        <v>58</v>
      </c>
      <c r="H480" s="1">
        <v>49501.63</v>
      </c>
      <c r="I480" t="s">
        <v>291</v>
      </c>
      <c r="J480">
        <v>618</v>
      </c>
      <c r="K480" t="s">
        <v>722</v>
      </c>
      <c r="L480" t="s">
        <v>723</v>
      </c>
      <c r="M480" t="s">
        <v>620</v>
      </c>
      <c r="N480" t="s">
        <v>621</v>
      </c>
      <c r="O480" t="s">
        <v>622</v>
      </c>
      <c r="P480">
        <v>6963</v>
      </c>
      <c r="Q480">
        <v>4787</v>
      </c>
      <c r="R480" t="s">
        <v>65</v>
      </c>
    </row>
    <row r="481" spans="1:18" x14ac:dyDescent="0.2">
      <c r="A481" t="s">
        <v>724</v>
      </c>
      <c r="B481" t="s">
        <v>619</v>
      </c>
      <c r="C481" t="s">
        <v>619</v>
      </c>
      <c r="D481" t="s">
        <v>52</v>
      </c>
      <c r="E481" t="str">
        <f>"C28R1is"</f>
        <v>C28R1is</v>
      </c>
      <c r="F481" t="s">
        <v>67</v>
      </c>
      <c r="G481" t="s">
        <v>68</v>
      </c>
      <c r="H481" s="1">
        <v>23193.49</v>
      </c>
      <c r="I481" t="s">
        <v>296</v>
      </c>
      <c r="J481">
        <v>1256</v>
      </c>
      <c r="K481" t="s">
        <v>722</v>
      </c>
      <c r="L481" t="s">
        <v>723</v>
      </c>
      <c r="M481" t="s">
        <v>620</v>
      </c>
      <c r="N481" t="s">
        <v>621</v>
      </c>
      <c r="O481" t="s">
        <v>622</v>
      </c>
      <c r="P481">
        <v>6963</v>
      </c>
      <c r="Q481">
        <v>4787</v>
      </c>
      <c r="R481" t="s">
        <v>65</v>
      </c>
    </row>
    <row r="482" spans="1:18" x14ac:dyDescent="0.2">
      <c r="A482" t="s">
        <v>725</v>
      </c>
      <c r="B482" t="s">
        <v>619</v>
      </c>
      <c r="C482" t="s">
        <v>619</v>
      </c>
      <c r="D482" t="s">
        <v>52</v>
      </c>
      <c r="E482" t="str">
        <f>"C28R2g"</f>
        <v>C28R2g</v>
      </c>
      <c r="F482" t="s">
        <v>71</v>
      </c>
      <c r="G482" t="s">
        <v>72</v>
      </c>
      <c r="H482" s="1">
        <v>223679.16</v>
      </c>
      <c r="I482" t="s">
        <v>298</v>
      </c>
      <c r="J482">
        <v>2162</v>
      </c>
      <c r="K482" t="s">
        <v>726</v>
      </c>
      <c r="L482" t="s">
        <v>727</v>
      </c>
      <c r="M482" t="s">
        <v>620</v>
      </c>
      <c r="N482" t="s">
        <v>621</v>
      </c>
      <c r="O482" t="s">
        <v>622</v>
      </c>
      <c r="P482">
        <v>6963</v>
      </c>
      <c r="Q482">
        <v>4787</v>
      </c>
      <c r="R482" t="s">
        <v>65</v>
      </c>
    </row>
    <row r="483" spans="1:18" x14ac:dyDescent="0.2">
      <c r="A483" t="s">
        <v>728</v>
      </c>
      <c r="B483" t="s">
        <v>619</v>
      </c>
      <c r="C483" t="s">
        <v>619</v>
      </c>
      <c r="D483" t="s">
        <v>52</v>
      </c>
      <c r="E483" t="str">
        <f>"C29R1is"</f>
        <v>C29R1is</v>
      </c>
      <c r="F483" t="s">
        <v>57</v>
      </c>
      <c r="G483" t="s">
        <v>58</v>
      </c>
      <c r="H483" s="1">
        <v>11109.48</v>
      </c>
      <c r="I483" t="s">
        <v>291</v>
      </c>
      <c r="J483">
        <v>162</v>
      </c>
      <c r="K483">
        <v>26931</v>
      </c>
      <c r="L483">
        <v>33815</v>
      </c>
      <c r="M483" t="s">
        <v>620</v>
      </c>
      <c r="N483" t="s">
        <v>621</v>
      </c>
      <c r="O483" t="s">
        <v>622</v>
      </c>
      <c r="P483">
        <v>6963</v>
      </c>
      <c r="Q483">
        <v>4787</v>
      </c>
      <c r="R483" t="s">
        <v>65</v>
      </c>
    </row>
    <row r="484" spans="1:18" x14ac:dyDescent="0.2">
      <c r="A484" t="s">
        <v>729</v>
      </c>
      <c r="B484" t="s">
        <v>619</v>
      </c>
      <c r="C484" t="s">
        <v>619</v>
      </c>
      <c r="D484" t="s">
        <v>52</v>
      </c>
      <c r="E484" t="str">
        <f>"C29R1is"</f>
        <v>C29R1is</v>
      </c>
      <c r="F484" t="s">
        <v>67</v>
      </c>
      <c r="G484" t="s">
        <v>68</v>
      </c>
      <c r="H484" s="1">
        <v>12129.13</v>
      </c>
      <c r="I484" t="s">
        <v>296</v>
      </c>
      <c r="J484">
        <v>1073</v>
      </c>
      <c r="K484">
        <v>26931</v>
      </c>
      <c r="L484">
        <v>33815</v>
      </c>
      <c r="M484" t="s">
        <v>620</v>
      </c>
      <c r="N484" t="s">
        <v>621</v>
      </c>
      <c r="O484" t="s">
        <v>622</v>
      </c>
      <c r="P484">
        <v>6963</v>
      </c>
      <c r="Q484">
        <v>4787</v>
      </c>
      <c r="R484" t="s">
        <v>65</v>
      </c>
    </row>
    <row r="485" spans="1:18" x14ac:dyDescent="0.2">
      <c r="A485" t="s">
        <v>730</v>
      </c>
      <c r="B485" t="s">
        <v>619</v>
      </c>
      <c r="C485" t="s">
        <v>619</v>
      </c>
      <c r="D485" t="s">
        <v>52</v>
      </c>
      <c r="E485" t="str">
        <f>"C29R2ig"</f>
        <v>C29R2ig</v>
      </c>
      <c r="F485" t="s">
        <v>57</v>
      </c>
      <c r="G485" t="s">
        <v>58</v>
      </c>
      <c r="H485" s="1">
        <v>9554.64</v>
      </c>
      <c r="I485" t="s">
        <v>363</v>
      </c>
      <c r="J485">
        <v>165</v>
      </c>
      <c r="K485">
        <v>27347</v>
      </c>
      <c r="L485">
        <v>37470</v>
      </c>
      <c r="M485" t="s">
        <v>620</v>
      </c>
      <c r="N485" t="s">
        <v>621</v>
      </c>
      <c r="O485" t="s">
        <v>622</v>
      </c>
      <c r="P485">
        <v>6963</v>
      </c>
      <c r="Q485">
        <v>4787</v>
      </c>
      <c r="R485" t="s">
        <v>65</v>
      </c>
    </row>
    <row r="486" spans="1:18" x14ac:dyDescent="0.2">
      <c r="A486" t="s">
        <v>731</v>
      </c>
      <c r="B486" t="s">
        <v>619</v>
      </c>
      <c r="C486" t="s">
        <v>619</v>
      </c>
      <c r="D486" t="s">
        <v>52</v>
      </c>
      <c r="E486" t="str">
        <f>"C29R2ig"</f>
        <v>C29R2ig</v>
      </c>
      <c r="F486" t="s">
        <v>71</v>
      </c>
      <c r="G486" t="s">
        <v>72</v>
      </c>
      <c r="H486" s="1">
        <v>243748.09</v>
      </c>
      <c r="I486" t="s">
        <v>298</v>
      </c>
      <c r="J486">
        <v>3585</v>
      </c>
      <c r="K486">
        <v>27347</v>
      </c>
      <c r="L486">
        <v>37470</v>
      </c>
      <c r="M486" t="s">
        <v>620</v>
      </c>
      <c r="N486" t="s">
        <v>621</v>
      </c>
      <c r="O486" t="s">
        <v>622</v>
      </c>
      <c r="P486">
        <v>6963</v>
      </c>
      <c r="Q486">
        <v>4787</v>
      </c>
      <c r="R486" t="s">
        <v>65</v>
      </c>
    </row>
    <row r="487" spans="1:18" x14ac:dyDescent="0.2">
      <c r="A487" t="s">
        <v>732</v>
      </c>
      <c r="B487" t="s">
        <v>619</v>
      </c>
      <c r="C487" t="s">
        <v>619</v>
      </c>
      <c r="D487" t="s">
        <v>52</v>
      </c>
      <c r="E487" t="str">
        <f>"C30R1is"</f>
        <v>C30R1is</v>
      </c>
      <c r="F487" t="s">
        <v>57</v>
      </c>
      <c r="G487" t="s">
        <v>58</v>
      </c>
      <c r="H487" s="1">
        <v>17852.990000000002</v>
      </c>
      <c r="I487" t="s">
        <v>291</v>
      </c>
      <c r="J487">
        <v>293</v>
      </c>
      <c r="K487">
        <v>26740</v>
      </c>
      <c r="L487">
        <v>27793</v>
      </c>
      <c r="M487" t="s">
        <v>620</v>
      </c>
      <c r="N487" t="s">
        <v>621</v>
      </c>
      <c r="O487" t="s">
        <v>622</v>
      </c>
      <c r="P487">
        <v>6963</v>
      </c>
      <c r="Q487">
        <v>4787</v>
      </c>
      <c r="R487" t="s">
        <v>65</v>
      </c>
    </row>
    <row r="488" spans="1:18" x14ac:dyDescent="0.2">
      <c r="A488" t="s">
        <v>733</v>
      </c>
      <c r="B488" t="s">
        <v>619</v>
      </c>
      <c r="C488" t="s">
        <v>619</v>
      </c>
      <c r="D488" t="s">
        <v>52</v>
      </c>
      <c r="E488" t="str">
        <f>"C30R1is"</f>
        <v>C30R1is</v>
      </c>
      <c r="F488" t="s">
        <v>67</v>
      </c>
      <c r="G488" t="s">
        <v>68</v>
      </c>
      <c r="H488" s="1">
        <v>19732.939999999999</v>
      </c>
      <c r="I488" t="s">
        <v>296</v>
      </c>
      <c r="J488">
        <v>1462</v>
      </c>
      <c r="K488">
        <v>26740</v>
      </c>
      <c r="L488">
        <v>27793</v>
      </c>
      <c r="M488" t="s">
        <v>620</v>
      </c>
      <c r="N488" t="s">
        <v>621</v>
      </c>
      <c r="O488" t="s">
        <v>622</v>
      </c>
      <c r="P488">
        <v>6963</v>
      </c>
      <c r="Q488">
        <v>4787</v>
      </c>
      <c r="R488" t="s">
        <v>65</v>
      </c>
    </row>
    <row r="489" spans="1:18" x14ac:dyDescent="0.2">
      <c r="A489" t="s">
        <v>734</v>
      </c>
      <c r="B489" t="s">
        <v>619</v>
      </c>
      <c r="C489" t="s">
        <v>619</v>
      </c>
      <c r="D489" t="s">
        <v>52</v>
      </c>
      <c r="E489" t="str">
        <f>"C30R2ig"</f>
        <v>C30R2ig</v>
      </c>
      <c r="F489" t="s">
        <v>57</v>
      </c>
      <c r="G489" t="s">
        <v>58</v>
      </c>
      <c r="H489" s="1">
        <v>22351.439999999999</v>
      </c>
      <c r="I489" t="s">
        <v>363</v>
      </c>
      <c r="J489">
        <v>331</v>
      </c>
      <c r="K489">
        <v>28651</v>
      </c>
      <c r="L489">
        <v>29689</v>
      </c>
      <c r="M489" t="s">
        <v>620</v>
      </c>
      <c r="N489" t="s">
        <v>621</v>
      </c>
      <c r="O489" t="s">
        <v>622</v>
      </c>
      <c r="P489">
        <v>6963</v>
      </c>
      <c r="Q489">
        <v>4787</v>
      </c>
      <c r="R489" t="s">
        <v>65</v>
      </c>
    </row>
    <row r="490" spans="1:18" x14ac:dyDescent="0.2">
      <c r="A490" t="s">
        <v>735</v>
      </c>
      <c r="B490" t="s">
        <v>619</v>
      </c>
      <c r="C490" t="s">
        <v>619</v>
      </c>
      <c r="D490" t="s">
        <v>52</v>
      </c>
      <c r="E490" t="str">
        <f>"C30R2ig"</f>
        <v>C30R2ig</v>
      </c>
      <c r="F490" t="s">
        <v>71</v>
      </c>
      <c r="G490" t="s">
        <v>72</v>
      </c>
      <c r="H490" s="1">
        <v>234707.04</v>
      </c>
      <c r="I490" t="s">
        <v>298</v>
      </c>
      <c r="J490">
        <v>2573</v>
      </c>
      <c r="K490">
        <v>28651</v>
      </c>
      <c r="L490">
        <v>29689</v>
      </c>
      <c r="M490" t="s">
        <v>620</v>
      </c>
      <c r="N490" t="s">
        <v>621</v>
      </c>
      <c r="O490" t="s">
        <v>622</v>
      </c>
      <c r="P490">
        <v>6963</v>
      </c>
      <c r="Q490">
        <v>4787</v>
      </c>
      <c r="R490" t="s">
        <v>65</v>
      </c>
    </row>
    <row r="491" spans="1:18" x14ac:dyDescent="0.2">
      <c r="A491" t="s">
        <v>736</v>
      </c>
      <c r="B491" t="s">
        <v>619</v>
      </c>
      <c r="C491" t="s">
        <v>619</v>
      </c>
      <c r="D491" t="s">
        <v>52</v>
      </c>
      <c r="E491" t="str">
        <f>"C31R1is"</f>
        <v>C31R1is</v>
      </c>
      <c r="F491" t="s">
        <v>57</v>
      </c>
      <c r="G491" t="s">
        <v>58</v>
      </c>
      <c r="H491" s="1">
        <v>34528.730000000003</v>
      </c>
      <c r="I491" t="s">
        <v>291</v>
      </c>
      <c r="J491">
        <v>369</v>
      </c>
      <c r="K491">
        <v>26965</v>
      </c>
      <c r="L491">
        <v>23566</v>
      </c>
      <c r="M491" t="s">
        <v>620</v>
      </c>
      <c r="N491" t="s">
        <v>621</v>
      </c>
      <c r="O491" t="s">
        <v>622</v>
      </c>
      <c r="P491">
        <v>6963</v>
      </c>
      <c r="Q491">
        <v>4787</v>
      </c>
      <c r="R491" t="s">
        <v>65</v>
      </c>
    </row>
    <row r="492" spans="1:18" x14ac:dyDescent="0.2">
      <c r="A492" t="s">
        <v>737</v>
      </c>
      <c r="B492" t="s">
        <v>619</v>
      </c>
      <c r="C492" t="s">
        <v>619</v>
      </c>
      <c r="D492" t="s">
        <v>52</v>
      </c>
      <c r="E492" t="str">
        <f>"C31R1is"</f>
        <v>C31R1is</v>
      </c>
      <c r="F492" t="s">
        <v>67</v>
      </c>
      <c r="G492" t="s">
        <v>68</v>
      </c>
      <c r="H492" s="1">
        <v>12886.55</v>
      </c>
      <c r="I492" t="s">
        <v>296</v>
      </c>
      <c r="J492">
        <v>494</v>
      </c>
      <c r="K492">
        <v>26965</v>
      </c>
      <c r="L492">
        <v>23566</v>
      </c>
      <c r="M492" t="s">
        <v>620</v>
      </c>
      <c r="N492" t="s">
        <v>621</v>
      </c>
      <c r="O492" t="s">
        <v>622</v>
      </c>
      <c r="P492">
        <v>6963</v>
      </c>
      <c r="Q492">
        <v>4787</v>
      </c>
      <c r="R492" t="s">
        <v>65</v>
      </c>
    </row>
    <row r="493" spans="1:18" x14ac:dyDescent="0.2">
      <c r="A493" t="s">
        <v>738</v>
      </c>
      <c r="B493" t="s">
        <v>619</v>
      </c>
      <c r="C493" t="s">
        <v>619</v>
      </c>
      <c r="D493" t="s">
        <v>52</v>
      </c>
      <c r="E493" t="str">
        <f>"C31R2g"</f>
        <v>C31R2g</v>
      </c>
      <c r="F493" t="s">
        <v>71</v>
      </c>
      <c r="G493" t="s">
        <v>72</v>
      </c>
      <c r="H493" s="1">
        <v>132821.60999999999</v>
      </c>
      <c r="I493" t="s">
        <v>298</v>
      </c>
      <c r="J493">
        <v>771</v>
      </c>
      <c r="K493">
        <v>26363</v>
      </c>
      <c r="L493">
        <v>22271</v>
      </c>
      <c r="M493" t="s">
        <v>620</v>
      </c>
      <c r="N493" t="s">
        <v>621</v>
      </c>
      <c r="O493" t="s">
        <v>622</v>
      </c>
      <c r="P493">
        <v>6963</v>
      </c>
      <c r="Q493">
        <v>4787</v>
      </c>
      <c r="R493" t="s">
        <v>65</v>
      </c>
    </row>
    <row r="494" spans="1:18" x14ac:dyDescent="0.2">
      <c r="A494" t="s">
        <v>739</v>
      </c>
      <c r="B494" t="s">
        <v>619</v>
      </c>
      <c r="C494" t="s">
        <v>619</v>
      </c>
      <c r="D494" t="s">
        <v>52</v>
      </c>
      <c r="E494" t="str">
        <f>"C32R1is"</f>
        <v>C32R1is</v>
      </c>
      <c r="F494" t="s">
        <v>57</v>
      </c>
      <c r="G494" t="s">
        <v>58</v>
      </c>
      <c r="H494" s="1">
        <v>17236.689999999999</v>
      </c>
      <c r="I494" t="s">
        <v>291</v>
      </c>
      <c r="J494">
        <v>215</v>
      </c>
      <c r="K494">
        <v>28222</v>
      </c>
      <c r="L494">
        <v>15140</v>
      </c>
      <c r="M494" t="s">
        <v>620</v>
      </c>
      <c r="N494" t="s">
        <v>621</v>
      </c>
      <c r="O494" t="s">
        <v>622</v>
      </c>
      <c r="P494">
        <v>6963</v>
      </c>
      <c r="Q494">
        <v>4787</v>
      </c>
      <c r="R494" t="s">
        <v>65</v>
      </c>
    </row>
    <row r="495" spans="1:18" x14ac:dyDescent="0.2">
      <c r="A495" t="s">
        <v>740</v>
      </c>
      <c r="B495" t="s">
        <v>619</v>
      </c>
      <c r="C495" t="s">
        <v>619</v>
      </c>
      <c r="D495" t="s">
        <v>52</v>
      </c>
      <c r="E495" t="str">
        <f>"C32R1is"</f>
        <v>C32R1is</v>
      </c>
      <c r="F495" t="s">
        <v>67</v>
      </c>
      <c r="G495" t="s">
        <v>68</v>
      </c>
      <c r="H495" s="1">
        <v>10996.84</v>
      </c>
      <c r="I495" t="s">
        <v>296</v>
      </c>
      <c r="J495">
        <v>680</v>
      </c>
      <c r="K495">
        <v>28222</v>
      </c>
      <c r="L495">
        <v>15140</v>
      </c>
      <c r="M495" t="s">
        <v>620</v>
      </c>
      <c r="N495" t="s">
        <v>621</v>
      </c>
      <c r="O495" t="s">
        <v>622</v>
      </c>
      <c r="P495">
        <v>6963</v>
      </c>
      <c r="Q495">
        <v>4787</v>
      </c>
      <c r="R495" t="s">
        <v>65</v>
      </c>
    </row>
    <row r="496" spans="1:18" x14ac:dyDescent="0.2">
      <c r="A496" t="s">
        <v>741</v>
      </c>
      <c r="B496" t="s">
        <v>619</v>
      </c>
      <c r="C496" t="s">
        <v>619</v>
      </c>
      <c r="D496" t="s">
        <v>52</v>
      </c>
      <c r="E496" t="str">
        <f>"C32R2ig"</f>
        <v>C32R2ig</v>
      </c>
      <c r="F496" t="s">
        <v>57</v>
      </c>
      <c r="G496" t="s">
        <v>58</v>
      </c>
      <c r="H496" s="1">
        <v>22693.67</v>
      </c>
      <c r="I496" t="s">
        <v>363</v>
      </c>
      <c r="J496">
        <v>234</v>
      </c>
      <c r="K496">
        <v>26374</v>
      </c>
      <c r="L496">
        <v>17146</v>
      </c>
      <c r="M496" t="s">
        <v>620</v>
      </c>
      <c r="N496" t="s">
        <v>621</v>
      </c>
      <c r="O496" t="s">
        <v>622</v>
      </c>
      <c r="P496">
        <v>6963</v>
      </c>
      <c r="Q496">
        <v>4787</v>
      </c>
      <c r="R496" t="s">
        <v>65</v>
      </c>
    </row>
    <row r="497" spans="1:18" x14ac:dyDescent="0.2">
      <c r="A497" t="s">
        <v>742</v>
      </c>
      <c r="B497" t="s">
        <v>619</v>
      </c>
      <c r="C497" t="s">
        <v>619</v>
      </c>
      <c r="D497" t="s">
        <v>52</v>
      </c>
      <c r="E497" t="str">
        <f>"C32R2ig"</f>
        <v>C32R2ig</v>
      </c>
      <c r="F497" t="s">
        <v>71</v>
      </c>
      <c r="G497" t="s">
        <v>72</v>
      </c>
      <c r="H497" s="1">
        <v>252081</v>
      </c>
      <c r="I497" t="s">
        <v>298</v>
      </c>
      <c r="J497">
        <v>1055</v>
      </c>
      <c r="K497">
        <v>26374</v>
      </c>
      <c r="L497">
        <v>17146</v>
      </c>
      <c r="M497" t="s">
        <v>620</v>
      </c>
      <c r="N497" t="s">
        <v>621</v>
      </c>
      <c r="O497" t="s">
        <v>622</v>
      </c>
      <c r="P497">
        <v>6963</v>
      </c>
      <c r="Q497">
        <v>4787</v>
      </c>
      <c r="R497" t="s">
        <v>65</v>
      </c>
    </row>
    <row r="498" spans="1:18" x14ac:dyDescent="0.2">
      <c r="A498" t="s">
        <v>743</v>
      </c>
      <c r="B498" t="s">
        <v>619</v>
      </c>
      <c r="C498" t="s">
        <v>619</v>
      </c>
      <c r="D498" t="s">
        <v>52</v>
      </c>
      <c r="E498" t="str">
        <f>"C33R1is"</f>
        <v>C33R1is</v>
      </c>
      <c r="F498" t="s">
        <v>57</v>
      </c>
      <c r="G498" t="s">
        <v>58</v>
      </c>
      <c r="H498" s="1">
        <v>30978.58</v>
      </c>
      <c r="I498" t="s">
        <v>291</v>
      </c>
      <c r="J498">
        <v>326</v>
      </c>
      <c r="K498" t="s">
        <v>744</v>
      </c>
      <c r="L498" t="s">
        <v>745</v>
      </c>
      <c r="M498" t="s">
        <v>620</v>
      </c>
      <c r="N498" t="s">
        <v>621</v>
      </c>
      <c r="O498" t="s">
        <v>622</v>
      </c>
      <c r="P498">
        <v>6963</v>
      </c>
      <c r="Q498">
        <v>4787</v>
      </c>
      <c r="R498" t="s">
        <v>65</v>
      </c>
    </row>
    <row r="499" spans="1:18" x14ac:dyDescent="0.2">
      <c r="A499" t="s">
        <v>746</v>
      </c>
      <c r="B499" t="s">
        <v>619</v>
      </c>
      <c r="C499" t="s">
        <v>619</v>
      </c>
      <c r="D499" t="s">
        <v>52</v>
      </c>
      <c r="E499" t="str">
        <f>"C33R1is"</f>
        <v>C33R1is</v>
      </c>
      <c r="F499" t="s">
        <v>67</v>
      </c>
      <c r="G499" t="s">
        <v>68</v>
      </c>
      <c r="H499" s="1">
        <v>26660.29</v>
      </c>
      <c r="I499" t="s">
        <v>296</v>
      </c>
      <c r="J499">
        <v>1895</v>
      </c>
      <c r="K499" t="s">
        <v>744</v>
      </c>
      <c r="L499" t="s">
        <v>745</v>
      </c>
      <c r="M499" t="s">
        <v>620</v>
      </c>
      <c r="N499" t="s">
        <v>621</v>
      </c>
      <c r="O499" t="s">
        <v>622</v>
      </c>
      <c r="P499">
        <v>6963</v>
      </c>
      <c r="Q499">
        <v>4787</v>
      </c>
      <c r="R499" t="s">
        <v>65</v>
      </c>
    </row>
    <row r="500" spans="1:18" x14ac:dyDescent="0.2">
      <c r="A500" t="s">
        <v>747</v>
      </c>
      <c r="B500" t="s">
        <v>619</v>
      </c>
      <c r="C500" t="s">
        <v>619</v>
      </c>
      <c r="D500" t="s">
        <v>52</v>
      </c>
      <c r="E500" t="str">
        <f>"C33R2ig"</f>
        <v>C33R2ig</v>
      </c>
      <c r="F500" t="s">
        <v>57</v>
      </c>
      <c r="G500" t="s">
        <v>58</v>
      </c>
      <c r="H500" s="1">
        <v>31120.97</v>
      </c>
      <c r="I500" t="s">
        <v>363</v>
      </c>
      <c r="J500">
        <v>312</v>
      </c>
      <c r="K500" t="s">
        <v>748</v>
      </c>
      <c r="L500" t="s">
        <v>749</v>
      </c>
      <c r="M500" t="s">
        <v>620</v>
      </c>
      <c r="N500" t="s">
        <v>621</v>
      </c>
      <c r="O500" t="s">
        <v>622</v>
      </c>
      <c r="P500">
        <v>6963</v>
      </c>
      <c r="Q500">
        <v>4787</v>
      </c>
      <c r="R500" t="s">
        <v>65</v>
      </c>
    </row>
    <row r="501" spans="1:18" x14ac:dyDescent="0.2">
      <c r="A501" t="s">
        <v>750</v>
      </c>
      <c r="B501" t="s">
        <v>619</v>
      </c>
      <c r="C501" t="s">
        <v>619</v>
      </c>
      <c r="D501" t="s">
        <v>52</v>
      </c>
      <c r="E501" t="str">
        <f>"C33R2ig"</f>
        <v>C33R2ig</v>
      </c>
      <c r="F501" t="s">
        <v>71</v>
      </c>
      <c r="G501" t="s">
        <v>72</v>
      </c>
      <c r="H501" s="1">
        <v>237187.62</v>
      </c>
      <c r="I501" t="s">
        <v>298</v>
      </c>
      <c r="J501">
        <v>2601</v>
      </c>
      <c r="K501" t="s">
        <v>748</v>
      </c>
      <c r="L501" t="s">
        <v>749</v>
      </c>
      <c r="M501" t="s">
        <v>620</v>
      </c>
      <c r="N501" t="s">
        <v>621</v>
      </c>
      <c r="O501" t="s">
        <v>622</v>
      </c>
      <c r="P501">
        <v>6963</v>
      </c>
      <c r="Q501">
        <v>4787</v>
      </c>
      <c r="R501" t="s">
        <v>65</v>
      </c>
    </row>
    <row r="502" spans="1:18" x14ac:dyDescent="0.2">
      <c r="A502" t="s">
        <v>751</v>
      </c>
      <c r="B502" t="s">
        <v>619</v>
      </c>
      <c r="C502" t="s">
        <v>619</v>
      </c>
      <c r="D502" t="s">
        <v>52</v>
      </c>
      <c r="E502" t="str">
        <f>"C34R1is"</f>
        <v>C34R1is</v>
      </c>
      <c r="F502" t="s">
        <v>57</v>
      </c>
      <c r="G502" t="s">
        <v>58</v>
      </c>
      <c r="H502" s="1">
        <v>21518.98</v>
      </c>
      <c r="I502" t="s">
        <v>291</v>
      </c>
      <c r="J502">
        <v>325</v>
      </c>
      <c r="K502" t="s">
        <v>752</v>
      </c>
      <c r="L502" t="s">
        <v>753</v>
      </c>
      <c r="M502" t="s">
        <v>620</v>
      </c>
      <c r="N502" t="s">
        <v>621</v>
      </c>
      <c r="O502" t="s">
        <v>622</v>
      </c>
      <c r="P502">
        <v>6963</v>
      </c>
      <c r="Q502">
        <v>4787</v>
      </c>
      <c r="R502" t="s">
        <v>65</v>
      </c>
    </row>
    <row r="503" spans="1:18" x14ac:dyDescent="0.2">
      <c r="A503" t="s">
        <v>754</v>
      </c>
      <c r="B503" t="s">
        <v>619</v>
      </c>
      <c r="C503" t="s">
        <v>619</v>
      </c>
      <c r="D503" t="s">
        <v>52</v>
      </c>
      <c r="E503" t="str">
        <f>"C34R1is"</f>
        <v>C34R1is</v>
      </c>
      <c r="F503" t="s">
        <v>67</v>
      </c>
      <c r="G503" t="s">
        <v>68</v>
      </c>
      <c r="H503" s="1">
        <v>38226.400000000001</v>
      </c>
      <c r="I503" t="s">
        <v>296</v>
      </c>
      <c r="J503">
        <v>2618</v>
      </c>
      <c r="K503" t="s">
        <v>752</v>
      </c>
      <c r="L503" t="s">
        <v>753</v>
      </c>
      <c r="M503" t="s">
        <v>620</v>
      </c>
      <c r="N503" t="s">
        <v>621</v>
      </c>
      <c r="O503" t="s">
        <v>622</v>
      </c>
      <c r="P503">
        <v>6963</v>
      </c>
      <c r="Q503">
        <v>4787</v>
      </c>
      <c r="R503" t="s">
        <v>65</v>
      </c>
    </row>
    <row r="504" spans="1:18" x14ac:dyDescent="0.2">
      <c r="A504" t="s">
        <v>755</v>
      </c>
      <c r="B504" t="s">
        <v>619</v>
      </c>
      <c r="C504" t="s">
        <v>619</v>
      </c>
      <c r="D504" t="s">
        <v>52</v>
      </c>
      <c r="E504" t="str">
        <f>"C34R2ig"</f>
        <v>C34R2ig</v>
      </c>
      <c r="F504" t="s">
        <v>57</v>
      </c>
      <c r="G504" t="s">
        <v>58</v>
      </c>
      <c r="H504" s="1">
        <v>9241.2099999999991</v>
      </c>
      <c r="I504" t="s">
        <v>363</v>
      </c>
      <c r="J504">
        <v>113</v>
      </c>
      <c r="K504">
        <v>21444</v>
      </c>
      <c r="L504">
        <v>30293</v>
      </c>
      <c r="M504" t="s">
        <v>620</v>
      </c>
      <c r="N504" t="s">
        <v>621</v>
      </c>
      <c r="O504" t="s">
        <v>622</v>
      </c>
      <c r="P504">
        <v>6963</v>
      </c>
      <c r="Q504">
        <v>4787</v>
      </c>
      <c r="R504" t="s">
        <v>65</v>
      </c>
    </row>
    <row r="505" spans="1:18" x14ac:dyDescent="0.2">
      <c r="A505" t="s">
        <v>756</v>
      </c>
      <c r="B505" t="s">
        <v>619</v>
      </c>
      <c r="C505" t="s">
        <v>619</v>
      </c>
      <c r="D505" t="s">
        <v>52</v>
      </c>
      <c r="E505" t="str">
        <f>"C34R2ig"</f>
        <v>C34R2ig</v>
      </c>
      <c r="F505" t="s">
        <v>71</v>
      </c>
      <c r="G505" t="s">
        <v>72</v>
      </c>
      <c r="H505" s="1">
        <v>193515.6</v>
      </c>
      <c r="I505" t="s">
        <v>298</v>
      </c>
      <c r="J505">
        <v>2565</v>
      </c>
      <c r="K505">
        <v>21444</v>
      </c>
      <c r="L505">
        <v>30293</v>
      </c>
      <c r="M505" t="s">
        <v>620</v>
      </c>
      <c r="N505" t="s">
        <v>621</v>
      </c>
      <c r="O505" t="s">
        <v>622</v>
      </c>
      <c r="P505">
        <v>6963</v>
      </c>
      <c r="Q505">
        <v>4787</v>
      </c>
      <c r="R505" t="s">
        <v>65</v>
      </c>
    </row>
    <row r="506" spans="1:18" x14ac:dyDescent="0.2">
      <c r="A506" t="s">
        <v>757</v>
      </c>
      <c r="B506" t="s">
        <v>619</v>
      </c>
      <c r="C506" t="s">
        <v>619</v>
      </c>
      <c r="D506" t="s">
        <v>52</v>
      </c>
      <c r="E506" t="str">
        <f>"C35R1is"</f>
        <v>C35R1is</v>
      </c>
      <c r="F506" t="s">
        <v>57</v>
      </c>
      <c r="G506" t="s">
        <v>58</v>
      </c>
      <c r="H506" s="1">
        <v>12555.84</v>
      </c>
      <c r="I506" t="s">
        <v>291</v>
      </c>
      <c r="J506">
        <v>95</v>
      </c>
      <c r="K506">
        <v>21247</v>
      </c>
      <c r="L506">
        <v>22551</v>
      </c>
      <c r="M506" t="s">
        <v>620</v>
      </c>
      <c r="N506" t="s">
        <v>621</v>
      </c>
      <c r="O506" t="s">
        <v>622</v>
      </c>
      <c r="P506">
        <v>6963</v>
      </c>
      <c r="Q506">
        <v>4787</v>
      </c>
      <c r="R506" t="s">
        <v>65</v>
      </c>
    </row>
    <row r="507" spans="1:18" x14ac:dyDescent="0.2">
      <c r="A507" t="s">
        <v>1101</v>
      </c>
      <c r="H507" s="3">
        <f>SUM(H412:H506)</f>
        <v>7911933.5500000026</v>
      </c>
    </row>
    <row r="508" spans="1:18" x14ac:dyDescent="0.2">
      <c r="A508" t="s">
        <v>758</v>
      </c>
      <c r="B508" t="s">
        <v>54</v>
      </c>
      <c r="H508" s="1"/>
    </row>
    <row r="509" spans="1:18" x14ac:dyDescent="0.2">
      <c r="A509" t="s">
        <v>759</v>
      </c>
      <c r="B509" t="s">
        <v>619</v>
      </c>
      <c r="C509" t="s">
        <v>619</v>
      </c>
      <c r="D509" t="s">
        <v>52</v>
      </c>
      <c r="E509" t="str">
        <f>"C35R1is"</f>
        <v>C35R1is</v>
      </c>
      <c r="F509" t="s">
        <v>67</v>
      </c>
      <c r="G509" t="s">
        <v>68</v>
      </c>
      <c r="H509" s="1">
        <v>18044.18</v>
      </c>
      <c r="I509" t="s">
        <v>296</v>
      </c>
      <c r="J509">
        <v>1221</v>
      </c>
      <c r="K509">
        <v>21247</v>
      </c>
      <c r="L509">
        <v>22551</v>
      </c>
      <c r="M509" t="s">
        <v>620</v>
      </c>
      <c r="N509" t="s">
        <v>621</v>
      </c>
      <c r="O509" t="s">
        <v>622</v>
      </c>
      <c r="P509">
        <v>6963</v>
      </c>
      <c r="Q509">
        <v>4787</v>
      </c>
      <c r="R509" t="s">
        <v>65</v>
      </c>
    </row>
    <row r="510" spans="1:18" x14ac:dyDescent="0.2">
      <c r="A510" t="s">
        <v>760</v>
      </c>
      <c r="B510" t="s">
        <v>619</v>
      </c>
      <c r="C510" t="s">
        <v>619</v>
      </c>
      <c r="D510" t="s">
        <v>52</v>
      </c>
      <c r="E510" t="str">
        <f>"C35R2ig"</f>
        <v>C35R2ig</v>
      </c>
      <c r="F510" t="s">
        <v>57</v>
      </c>
      <c r="G510" t="s">
        <v>58</v>
      </c>
      <c r="H510" s="1">
        <v>16509.18</v>
      </c>
      <c r="I510" t="s">
        <v>363</v>
      </c>
      <c r="J510">
        <v>166</v>
      </c>
      <c r="K510">
        <v>19999</v>
      </c>
      <c r="L510">
        <v>22586</v>
      </c>
      <c r="M510" t="s">
        <v>620</v>
      </c>
      <c r="N510" t="s">
        <v>621</v>
      </c>
      <c r="O510" t="s">
        <v>622</v>
      </c>
      <c r="P510">
        <v>6963</v>
      </c>
      <c r="Q510">
        <v>4787</v>
      </c>
      <c r="R510" t="s">
        <v>65</v>
      </c>
    </row>
    <row r="511" spans="1:18" x14ac:dyDescent="0.2">
      <c r="A511" t="s">
        <v>761</v>
      </c>
      <c r="B511" t="s">
        <v>619</v>
      </c>
      <c r="C511" t="s">
        <v>619</v>
      </c>
      <c r="D511" t="s">
        <v>52</v>
      </c>
      <c r="E511" t="str">
        <f>"C35R2ig"</f>
        <v>C35R2ig</v>
      </c>
      <c r="F511" t="s">
        <v>71</v>
      </c>
      <c r="G511" t="s">
        <v>72</v>
      </c>
      <c r="H511" s="1">
        <v>182010.93</v>
      </c>
      <c r="I511" t="s">
        <v>298</v>
      </c>
      <c r="J511">
        <v>1270</v>
      </c>
      <c r="K511">
        <v>19999</v>
      </c>
      <c r="L511">
        <v>22586</v>
      </c>
      <c r="M511" t="s">
        <v>620</v>
      </c>
      <c r="N511" t="s">
        <v>621</v>
      </c>
      <c r="O511" t="s">
        <v>622</v>
      </c>
      <c r="P511">
        <v>6963</v>
      </c>
      <c r="Q511">
        <v>4787</v>
      </c>
      <c r="R511" t="s">
        <v>65</v>
      </c>
    </row>
    <row r="512" spans="1:18" x14ac:dyDescent="0.2">
      <c r="A512" t="s">
        <v>762</v>
      </c>
      <c r="B512" t="s">
        <v>619</v>
      </c>
      <c r="C512" t="s">
        <v>619</v>
      </c>
      <c r="D512" t="s">
        <v>52</v>
      </c>
      <c r="E512" t="str">
        <f>"C36R1is"</f>
        <v>C36R1is</v>
      </c>
      <c r="F512" t="s">
        <v>57</v>
      </c>
      <c r="G512" t="s">
        <v>58</v>
      </c>
      <c r="H512" s="1">
        <v>15514.65</v>
      </c>
      <c r="I512" t="s">
        <v>291</v>
      </c>
      <c r="J512">
        <v>155</v>
      </c>
      <c r="K512">
        <v>21689</v>
      </c>
      <c r="L512">
        <v>14896</v>
      </c>
      <c r="M512" t="s">
        <v>620</v>
      </c>
      <c r="N512" t="s">
        <v>621</v>
      </c>
      <c r="O512" t="s">
        <v>622</v>
      </c>
      <c r="P512">
        <v>6963</v>
      </c>
      <c r="Q512">
        <v>4787</v>
      </c>
      <c r="R512" t="s">
        <v>65</v>
      </c>
    </row>
    <row r="513" spans="1:18" x14ac:dyDescent="0.2">
      <c r="A513" t="s">
        <v>763</v>
      </c>
      <c r="B513" t="s">
        <v>619</v>
      </c>
      <c r="C513" t="s">
        <v>619</v>
      </c>
      <c r="D513" t="s">
        <v>52</v>
      </c>
      <c r="E513" t="str">
        <f>"C36R1is"</f>
        <v>C36R1is</v>
      </c>
      <c r="F513" t="s">
        <v>67</v>
      </c>
      <c r="G513" t="s">
        <v>68</v>
      </c>
      <c r="H513" s="1">
        <v>9260.89</v>
      </c>
      <c r="I513" t="s">
        <v>296</v>
      </c>
      <c r="J513">
        <v>716</v>
      </c>
      <c r="K513">
        <v>21689</v>
      </c>
      <c r="L513">
        <v>14896</v>
      </c>
      <c r="M513" t="s">
        <v>620</v>
      </c>
      <c r="N513" t="s">
        <v>621</v>
      </c>
      <c r="O513" t="s">
        <v>622</v>
      </c>
      <c r="P513">
        <v>6963</v>
      </c>
      <c r="Q513">
        <v>4787</v>
      </c>
      <c r="R513" t="s">
        <v>65</v>
      </c>
    </row>
    <row r="514" spans="1:18" x14ac:dyDescent="0.2">
      <c r="A514" t="s">
        <v>764</v>
      </c>
      <c r="B514" t="s">
        <v>619</v>
      </c>
      <c r="C514" t="s">
        <v>619</v>
      </c>
      <c r="D514" t="s">
        <v>52</v>
      </c>
      <c r="E514" t="str">
        <f>"C36R2g"</f>
        <v>C36R2g</v>
      </c>
      <c r="F514" t="s">
        <v>71</v>
      </c>
      <c r="G514" t="s">
        <v>72</v>
      </c>
      <c r="H514" s="1">
        <v>261362.85</v>
      </c>
      <c r="I514" t="s">
        <v>298</v>
      </c>
      <c r="J514">
        <v>1447</v>
      </c>
      <c r="K514">
        <v>21742</v>
      </c>
      <c r="L514">
        <v>16732</v>
      </c>
      <c r="M514" t="s">
        <v>620</v>
      </c>
      <c r="N514" t="s">
        <v>621</v>
      </c>
      <c r="O514" t="s">
        <v>622</v>
      </c>
      <c r="P514">
        <v>6963</v>
      </c>
      <c r="Q514">
        <v>4787</v>
      </c>
      <c r="R514" t="s">
        <v>65</v>
      </c>
    </row>
    <row r="515" spans="1:18" x14ac:dyDescent="0.2">
      <c r="A515" t="s">
        <v>765</v>
      </c>
      <c r="B515" t="s">
        <v>619</v>
      </c>
      <c r="C515" t="s">
        <v>619</v>
      </c>
      <c r="D515" t="s">
        <v>52</v>
      </c>
      <c r="E515" t="str">
        <f>"C37R1is"</f>
        <v>C37R1is</v>
      </c>
      <c r="F515" t="s">
        <v>57</v>
      </c>
      <c r="G515" t="s">
        <v>58</v>
      </c>
      <c r="H515" s="1">
        <v>20411.330000000002</v>
      </c>
      <c r="I515" t="s">
        <v>291</v>
      </c>
      <c r="J515">
        <v>179</v>
      </c>
      <c r="K515">
        <v>11725</v>
      </c>
      <c r="L515">
        <v>31038</v>
      </c>
      <c r="M515" t="s">
        <v>620</v>
      </c>
      <c r="N515" t="s">
        <v>621</v>
      </c>
      <c r="O515" t="s">
        <v>622</v>
      </c>
      <c r="P515">
        <v>6963</v>
      </c>
      <c r="Q515">
        <v>4787</v>
      </c>
      <c r="R515" t="s">
        <v>65</v>
      </c>
    </row>
    <row r="516" spans="1:18" x14ac:dyDescent="0.2">
      <c r="A516" t="s">
        <v>766</v>
      </c>
      <c r="B516" t="s">
        <v>619</v>
      </c>
      <c r="C516" t="s">
        <v>619</v>
      </c>
      <c r="D516" t="s">
        <v>52</v>
      </c>
      <c r="E516" t="str">
        <f>"C37R1is"</f>
        <v>C37R1is</v>
      </c>
      <c r="F516" t="s">
        <v>67</v>
      </c>
      <c r="G516" t="s">
        <v>68</v>
      </c>
      <c r="H516" s="1">
        <v>11137.48</v>
      </c>
      <c r="I516" t="s">
        <v>296</v>
      </c>
      <c r="J516">
        <v>870</v>
      </c>
      <c r="K516">
        <v>11725</v>
      </c>
      <c r="L516">
        <v>31038</v>
      </c>
      <c r="M516" t="s">
        <v>620</v>
      </c>
      <c r="N516" t="s">
        <v>621</v>
      </c>
      <c r="O516" t="s">
        <v>622</v>
      </c>
      <c r="P516">
        <v>6963</v>
      </c>
      <c r="Q516">
        <v>4787</v>
      </c>
      <c r="R516" t="s">
        <v>65</v>
      </c>
    </row>
    <row r="517" spans="1:18" x14ac:dyDescent="0.2">
      <c r="A517" t="s">
        <v>767</v>
      </c>
      <c r="B517" t="s">
        <v>619</v>
      </c>
      <c r="C517" t="s">
        <v>619</v>
      </c>
      <c r="D517" t="s">
        <v>52</v>
      </c>
      <c r="E517" t="str">
        <f>"C37R2ig"</f>
        <v>C37R2ig</v>
      </c>
      <c r="F517" t="s">
        <v>57</v>
      </c>
      <c r="G517" t="s">
        <v>58</v>
      </c>
      <c r="H517" s="1">
        <v>9262.81</v>
      </c>
      <c r="I517" t="s">
        <v>363</v>
      </c>
      <c r="J517">
        <v>106</v>
      </c>
      <c r="K517">
        <v>10847</v>
      </c>
      <c r="L517">
        <v>32403</v>
      </c>
      <c r="M517" t="s">
        <v>620</v>
      </c>
      <c r="N517" t="s">
        <v>621</v>
      </c>
      <c r="O517" t="s">
        <v>622</v>
      </c>
      <c r="P517">
        <v>6963</v>
      </c>
      <c r="Q517">
        <v>4787</v>
      </c>
      <c r="R517" t="s">
        <v>65</v>
      </c>
    </row>
    <row r="518" spans="1:18" x14ac:dyDescent="0.2">
      <c r="A518" t="s">
        <v>768</v>
      </c>
      <c r="B518" t="s">
        <v>619</v>
      </c>
      <c r="C518" t="s">
        <v>619</v>
      </c>
      <c r="D518" t="s">
        <v>52</v>
      </c>
      <c r="E518" t="str">
        <f>"C37R2ig"</f>
        <v>C37R2ig</v>
      </c>
      <c r="F518" t="s">
        <v>71</v>
      </c>
      <c r="G518" t="s">
        <v>72</v>
      </c>
      <c r="H518" s="1">
        <v>202335.7</v>
      </c>
      <c r="I518" t="s">
        <v>298</v>
      </c>
      <c r="J518">
        <v>2224</v>
      </c>
      <c r="K518">
        <v>10847</v>
      </c>
      <c r="L518">
        <v>32403</v>
      </c>
      <c r="M518" t="s">
        <v>620</v>
      </c>
      <c r="N518" t="s">
        <v>621</v>
      </c>
      <c r="O518" t="s">
        <v>622</v>
      </c>
      <c r="P518">
        <v>6963</v>
      </c>
      <c r="Q518">
        <v>4787</v>
      </c>
      <c r="R518" t="s">
        <v>65</v>
      </c>
    </row>
    <row r="519" spans="1:18" x14ac:dyDescent="0.2">
      <c r="A519" t="s">
        <v>769</v>
      </c>
      <c r="B519" t="s">
        <v>619</v>
      </c>
      <c r="C519" t="s">
        <v>619</v>
      </c>
      <c r="D519" t="s">
        <v>52</v>
      </c>
      <c r="E519" t="str">
        <f>"C38R1is"</f>
        <v>C38R1is</v>
      </c>
      <c r="F519" t="s">
        <v>57</v>
      </c>
      <c r="G519" t="s">
        <v>58</v>
      </c>
      <c r="H519" s="1">
        <v>17507.72</v>
      </c>
      <c r="I519" t="s">
        <v>291</v>
      </c>
      <c r="J519">
        <v>257</v>
      </c>
      <c r="K519">
        <v>10870</v>
      </c>
      <c r="L519">
        <v>24980</v>
      </c>
      <c r="M519" t="s">
        <v>620</v>
      </c>
      <c r="N519" t="s">
        <v>621</v>
      </c>
      <c r="O519" t="s">
        <v>622</v>
      </c>
      <c r="P519">
        <v>6963</v>
      </c>
      <c r="Q519">
        <v>4787</v>
      </c>
      <c r="R519" t="s">
        <v>65</v>
      </c>
    </row>
    <row r="520" spans="1:18" x14ac:dyDescent="0.2">
      <c r="A520" t="s">
        <v>770</v>
      </c>
      <c r="B520" t="s">
        <v>619</v>
      </c>
      <c r="C520" t="s">
        <v>619</v>
      </c>
      <c r="D520" t="s">
        <v>52</v>
      </c>
      <c r="E520" t="str">
        <f>"C38R1is"</f>
        <v>C38R1is</v>
      </c>
      <c r="F520" t="s">
        <v>67</v>
      </c>
      <c r="G520" t="s">
        <v>68</v>
      </c>
      <c r="H520" s="1">
        <v>5586.1</v>
      </c>
      <c r="I520" t="s">
        <v>296</v>
      </c>
      <c r="J520">
        <v>365</v>
      </c>
      <c r="K520">
        <v>10870</v>
      </c>
      <c r="L520">
        <v>24980</v>
      </c>
      <c r="M520" t="s">
        <v>620</v>
      </c>
      <c r="N520" t="s">
        <v>621</v>
      </c>
      <c r="O520" t="s">
        <v>622</v>
      </c>
      <c r="P520">
        <v>6963</v>
      </c>
      <c r="Q520">
        <v>4787</v>
      </c>
      <c r="R520" t="s">
        <v>65</v>
      </c>
    </row>
    <row r="521" spans="1:18" x14ac:dyDescent="0.2">
      <c r="A521" t="s">
        <v>771</v>
      </c>
      <c r="B521" t="s">
        <v>619</v>
      </c>
      <c r="C521" t="s">
        <v>619</v>
      </c>
      <c r="D521" t="s">
        <v>52</v>
      </c>
      <c r="E521" t="str">
        <f>"C38R2ig"</f>
        <v>C38R2ig</v>
      </c>
      <c r="F521" t="s">
        <v>57</v>
      </c>
      <c r="G521" t="s">
        <v>58</v>
      </c>
      <c r="H521" s="1">
        <v>14654.99</v>
      </c>
      <c r="I521" t="s">
        <v>363</v>
      </c>
      <c r="J521">
        <v>198</v>
      </c>
      <c r="K521">
        <v>9214</v>
      </c>
      <c r="L521">
        <v>25558</v>
      </c>
      <c r="M521" t="s">
        <v>620</v>
      </c>
      <c r="N521" t="s">
        <v>621</v>
      </c>
      <c r="O521" t="s">
        <v>622</v>
      </c>
      <c r="P521">
        <v>6963</v>
      </c>
      <c r="Q521">
        <v>4787</v>
      </c>
      <c r="R521" t="s">
        <v>65</v>
      </c>
    </row>
    <row r="522" spans="1:18" x14ac:dyDescent="0.2">
      <c r="A522" t="s">
        <v>772</v>
      </c>
      <c r="B522" t="s">
        <v>619</v>
      </c>
      <c r="C522" t="s">
        <v>619</v>
      </c>
      <c r="D522" t="s">
        <v>52</v>
      </c>
      <c r="E522" t="str">
        <f>"C38R2ig"</f>
        <v>C38R2ig</v>
      </c>
      <c r="F522" t="s">
        <v>71</v>
      </c>
      <c r="G522" t="s">
        <v>72</v>
      </c>
      <c r="H522" s="1">
        <v>226887.88</v>
      </c>
      <c r="I522" t="s">
        <v>298</v>
      </c>
      <c r="J522">
        <v>2132</v>
      </c>
      <c r="K522">
        <v>9214</v>
      </c>
      <c r="L522">
        <v>25558</v>
      </c>
      <c r="M522" t="s">
        <v>620</v>
      </c>
      <c r="N522" t="s">
        <v>621</v>
      </c>
      <c r="O522" t="s">
        <v>622</v>
      </c>
      <c r="P522">
        <v>6963</v>
      </c>
      <c r="Q522">
        <v>4787</v>
      </c>
      <c r="R522" t="s">
        <v>65</v>
      </c>
    </row>
    <row r="523" spans="1:18" x14ac:dyDescent="0.2">
      <c r="A523" t="s">
        <v>773</v>
      </c>
      <c r="B523" t="s">
        <v>619</v>
      </c>
      <c r="C523" t="s">
        <v>619</v>
      </c>
      <c r="D523" t="s">
        <v>52</v>
      </c>
      <c r="E523" t="str">
        <f>"C39R1is"</f>
        <v>C39R1is</v>
      </c>
      <c r="F523" t="s">
        <v>57</v>
      </c>
      <c r="G523" t="s">
        <v>58</v>
      </c>
      <c r="H523" s="1">
        <v>5006.43</v>
      </c>
      <c r="I523" t="s">
        <v>291</v>
      </c>
      <c r="J523">
        <v>93</v>
      </c>
      <c r="K523">
        <v>15338</v>
      </c>
      <c r="L523">
        <v>22614</v>
      </c>
      <c r="M523" t="s">
        <v>620</v>
      </c>
      <c r="N523" t="s">
        <v>621</v>
      </c>
      <c r="O523" t="s">
        <v>622</v>
      </c>
      <c r="P523">
        <v>6963</v>
      </c>
      <c r="Q523">
        <v>4787</v>
      </c>
      <c r="R523" t="s">
        <v>65</v>
      </c>
    </row>
    <row r="524" spans="1:18" x14ac:dyDescent="0.2">
      <c r="A524" t="s">
        <v>774</v>
      </c>
      <c r="B524" t="s">
        <v>619</v>
      </c>
      <c r="C524" t="s">
        <v>619</v>
      </c>
      <c r="D524" t="s">
        <v>52</v>
      </c>
      <c r="E524" t="str">
        <f>"C39R1is"</f>
        <v>C39R1is</v>
      </c>
      <c r="F524" t="s">
        <v>67</v>
      </c>
      <c r="G524" t="s">
        <v>68</v>
      </c>
      <c r="H524" s="1">
        <v>30835.38</v>
      </c>
      <c r="I524" t="s">
        <v>296</v>
      </c>
      <c r="J524">
        <v>1736</v>
      </c>
      <c r="K524">
        <v>15338</v>
      </c>
      <c r="L524">
        <v>22614</v>
      </c>
      <c r="M524" t="s">
        <v>620</v>
      </c>
      <c r="N524" t="s">
        <v>621</v>
      </c>
      <c r="O524" t="s">
        <v>622</v>
      </c>
      <c r="P524">
        <v>6963</v>
      </c>
      <c r="Q524">
        <v>4787</v>
      </c>
      <c r="R524" t="s">
        <v>65</v>
      </c>
    </row>
    <row r="525" spans="1:18" x14ac:dyDescent="0.2">
      <c r="A525" t="s">
        <v>775</v>
      </c>
      <c r="B525" t="s">
        <v>619</v>
      </c>
      <c r="C525" t="s">
        <v>619</v>
      </c>
      <c r="D525" t="s">
        <v>52</v>
      </c>
      <c r="E525" t="str">
        <f>"C39R2g"</f>
        <v>C39R2g</v>
      </c>
      <c r="F525" t="s">
        <v>71</v>
      </c>
      <c r="G525" t="s">
        <v>72</v>
      </c>
      <c r="H525" s="1">
        <v>174493.2</v>
      </c>
      <c r="I525" t="s">
        <v>298</v>
      </c>
      <c r="J525">
        <v>2901</v>
      </c>
      <c r="K525">
        <v>14440</v>
      </c>
      <c r="L525">
        <v>23269</v>
      </c>
      <c r="M525" t="s">
        <v>620</v>
      </c>
      <c r="N525" t="s">
        <v>621</v>
      </c>
      <c r="O525" t="s">
        <v>622</v>
      </c>
      <c r="P525">
        <v>6963</v>
      </c>
      <c r="Q525">
        <v>4787</v>
      </c>
      <c r="R525" t="s">
        <v>65</v>
      </c>
    </row>
    <row r="526" spans="1:18" x14ac:dyDescent="0.2">
      <c r="A526" t="s">
        <v>776</v>
      </c>
      <c r="B526" t="s">
        <v>619</v>
      </c>
      <c r="C526" t="s">
        <v>619</v>
      </c>
      <c r="D526" t="s">
        <v>52</v>
      </c>
      <c r="E526" t="str">
        <f>"C40R1is"</f>
        <v>C40R1is</v>
      </c>
      <c r="F526" t="s">
        <v>57</v>
      </c>
      <c r="G526" t="s">
        <v>58</v>
      </c>
      <c r="H526" s="1">
        <v>9148.09</v>
      </c>
      <c r="I526" t="s">
        <v>291</v>
      </c>
      <c r="J526">
        <v>131</v>
      </c>
      <c r="K526">
        <v>14510</v>
      </c>
      <c r="L526">
        <v>15496</v>
      </c>
      <c r="M526" t="s">
        <v>620</v>
      </c>
      <c r="N526" t="s">
        <v>621</v>
      </c>
      <c r="O526" t="s">
        <v>622</v>
      </c>
      <c r="P526">
        <v>6963</v>
      </c>
      <c r="Q526">
        <v>4787</v>
      </c>
      <c r="R526" t="s">
        <v>65</v>
      </c>
    </row>
    <row r="527" spans="1:18" x14ac:dyDescent="0.2">
      <c r="A527" t="s">
        <v>777</v>
      </c>
      <c r="B527" t="s">
        <v>619</v>
      </c>
      <c r="C527" t="s">
        <v>619</v>
      </c>
      <c r="D527" t="s">
        <v>52</v>
      </c>
      <c r="E527" t="str">
        <f>"C40R1is"</f>
        <v>C40R1is</v>
      </c>
      <c r="F527" t="s">
        <v>67</v>
      </c>
      <c r="G527" t="s">
        <v>68</v>
      </c>
      <c r="H527" s="1">
        <v>23578.77</v>
      </c>
      <c r="I527" t="s">
        <v>296</v>
      </c>
      <c r="J527">
        <v>1228</v>
      </c>
      <c r="K527">
        <v>14510</v>
      </c>
      <c r="L527">
        <v>15496</v>
      </c>
      <c r="M527" t="s">
        <v>620</v>
      </c>
      <c r="N527" t="s">
        <v>621</v>
      </c>
      <c r="O527" t="s">
        <v>622</v>
      </c>
      <c r="P527">
        <v>6963</v>
      </c>
      <c r="Q527">
        <v>4787</v>
      </c>
      <c r="R527" t="s">
        <v>65</v>
      </c>
    </row>
    <row r="528" spans="1:18" x14ac:dyDescent="0.2">
      <c r="A528" t="s">
        <v>778</v>
      </c>
      <c r="B528" t="s">
        <v>619</v>
      </c>
      <c r="C528" t="s">
        <v>619</v>
      </c>
      <c r="D528" t="s">
        <v>52</v>
      </c>
      <c r="E528" t="str">
        <f>"C40R2g"</f>
        <v>C40R2g</v>
      </c>
      <c r="F528" t="s">
        <v>71</v>
      </c>
      <c r="G528" t="s">
        <v>72</v>
      </c>
      <c r="H528" s="1">
        <v>224167.15</v>
      </c>
      <c r="I528" t="s">
        <v>298</v>
      </c>
      <c r="J528">
        <v>2851</v>
      </c>
      <c r="K528">
        <v>15617</v>
      </c>
      <c r="L528">
        <v>14459</v>
      </c>
      <c r="M528" t="s">
        <v>620</v>
      </c>
      <c r="N528" t="s">
        <v>621</v>
      </c>
      <c r="O528" t="s">
        <v>622</v>
      </c>
      <c r="P528">
        <v>6963</v>
      </c>
      <c r="Q528">
        <v>4787</v>
      </c>
      <c r="R528" t="s">
        <v>65</v>
      </c>
    </row>
    <row r="529" spans="1:18" x14ac:dyDescent="0.2">
      <c r="A529" t="s">
        <v>779</v>
      </c>
      <c r="B529" t="s">
        <v>780</v>
      </c>
      <c r="C529" t="s">
        <v>780</v>
      </c>
      <c r="D529" t="s">
        <v>52</v>
      </c>
      <c r="E529" t="str">
        <f>"C03R1is"</f>
        <v>C03R1is</v>
      </c>
      <c r="F529" t="s">
        <v>57</v>
      </c>
      <c r="G529" t="s">
        <v>58</v>
      </c>
      <c r="H529" s="1">
        <v>7312.3</v>
      </c>
      <c r="I529" t="s">
        <v>291</v>
      </c>
      <c r="J529">
        <v>101</v>
      </c>
      <c r="K529">
        <v>73940</v>
      </c>
      <c r="L529">
        <v>17798</v>
      </c>
      <c r="M529" t="s">
        <v>781</v>
      </c>
      <c r="N529" t="s">
        <v>782</v>
      </c>
      <c r="O529" t="s">
        <v>783</v>
      </c>
      <c r="P529">
        <v>6926</v>
      </c>
      <c r="Q529">
        <v>1205</v>
      </c>
      <c r="R529" t="s">
        <v>65</v>
      </c>
    </row>
    <row r="530" spans="1:18" x14ac:dyDescent="0.2">
      <c r="A530" t="s">
        <v>784</v>
      </c>
      <c r="B530" t="s">
        <v>780</v>
      </c>
      <c r="C530" t="s">
        <v>780</v>
      </c>
      <c r="D530" t="s">
        <v>52</v>
      </c>
      <c r="E530" t="str">
        <f>"C03R1is"</f>
        <v>C03R1is</v>
      </c>
      <c r="F530" t="s">
        <v>67</v>
      </c>
      <c r="G530" t="s">
        <v>68</v>
      </c>
      <c r="H530" s="1">
        <v>21437.38</v>
      </c>
      <c r="I530" t="s">
        <v>296</v>
      </c>
      <c r="J530">
        <v>1546</v>
      </c>
      <c r="K530">
        <v>73940</v>
      </c>
      <c r="L530">
        <v>17798</v>
      </c>
      <c r="M530" t="s">
        <v>781</v>
      </c>
      <c r="N530" t="s">
        <v>782</v>
      </c>
      <c r="O530" t="s">
        <v>783</v>
      </c>
      <c r="P530">
        <v>6926</v>
      </c>
      <c r="Q530">
        <v>1205</v>
      </c>
      <c r="R530" t="s">
        <v>65</v>
      </c>
    </row>
    <row r="531" spans="1:18" x14ac:dyDescent="0.2">
      <c r="A531" t="s">
        <v>785</v>
      </c>
      <c r="B531" t="s">
        <v>780</v>
      </c>
      <c r="C531" t="s">
        <v>780</v>
      </c>
      <c r="D531" t="s">
        <v>52</v>
      </c>
      <c r="E531" t="str">
        <f>"C03R2is"</f>
        <v>C03R2is</v>
      </c>
      <c r="F531" t="s">
        <v>57</v>
      </c>
      <c r="G531" t="s">
        <v>58</v>
      </c>
      <c r="H531" s="1">
        <v>6550.39</v>
      </c>
      <c r="I531" t="s">
        <v>291</v>
      </c>
      <c r="J531">
        <v>108</v>
      </c>
      <c r="K531">
        <v>75425</v>
      </c>
      <c r="L531">
        <v>17940</v>
      </c>
      <c r="M531" t="s">
        <v>781</v>
      </c>
      <c r="N531" t="s">
        <v>782</v>
      </c>
      <c r="O531" t="s">
        <v>783</v>
      </c>
      <c r="P531">
        <v>6926</v>
      </c>
      <c r="Q531">
        <v>1205</v>
      </c>
      <c r="R531" t="s">
        <v>65</v>
      </c>
    </row>
    <row r="532" spans="1:18" x14ac:dyDescent="0.2">
      <c r="A532" t="s">
        <v>786</v>
      </c>
      <c r="B532" t="s">
        <v>780</v>
      </c>
      <c r="C532" t="s">
        <v>780</v>
      </c>
      <c r="D532" t="s">
        <v>52</v>
      </c>
      <c r="E532" t="str">
        <f>"C03R2is"</f>
        <v>C03R2is</v>
      </c>
      <c r="F532" t="s">
        <v>67</v>
      </c>
      <c r="G532" t="s">
        <v>68</v>
      </c>
      <c r="H532" s="1">
        <v>26958.68</v>
      </c>
      <c r="I532" t="s">
        <v>296</v>
      </c>
      <c r="J532">
        <v>1742</v>
      </c>
      <c r="K532">
        <v>75425</v>
      </c>
      <c r="L532">
        <v>17940</v>
      </c>
      <c r="M532" t="s">
        <v>781</v>
      </c>
      <c r="N532" t="s">
        <v>782</v>
      </c>
      <c r="O532" t="s">
        <v>783</v>
      </c>
      <c r="P532">
        <v>6926</v>
      </c>
      <c r="Q532">
        <v>1205</v>
      </c>
      <c r="R532" t="s">
        <v>65</v>
      </c>
    </row>
    <row r="533" spans="1:18" x14ac:dyDescent="0.2">
      <c r="A533" t="s">
        <v>787</v>
      </c>
      <c r="B533" t="s">
        <v>780</v>
      </c>
      <c r="C533" t="s">
        <v>780</v>
      </c>
      <c r="D533" t="s">
        <v>52</v>
      </c>
      <c r="E533" t="str">
        <f>"C03R3g"</f>
        <v>C03R3g</v>
      </c>
      <c r="F533" t="s">
        <v>71</v>
      </c>
      <c r="G533" t="s">
        <v>72</v>
      </c>
      <c r="H533" s="1">
        <v>163571.07</v>
      </c>
      <c r="I533" t="s">
        <v>298</v>
      </c>
      <c r="J533">
        <v>2064</v>
      </c>
      <c r="K533">
        <v>73348</v>
      </c>
      <c r="L533">
        <v>16840</v>
      </c>
      <c r="M533" t="s">
        <v>781</v>
      </c>
      <c r="N533" t="s">
        <v>782</v>
      </c>
      <c r="O533" t="s">
        <v>783</v>
      </c>
      <c r="P533">
        <v>6926</v>
      </c>
      <c r="Q533">
        <v>1205</v>
      </c>
      <c r="R533" t="s">
        <v>65</v>
      </c>
    </row>
    <row r="534" spans="1:18" x14ac:dyDescent="0.2">
      <c r="A534" t="s">
        <v>788</v>
      </c>
      <c r="B534" t="s">
        <v>780</v>
      </c>
      <c r="C534" t="s">
        <v>780</v>
      </c>
      <c r="D534" t="s">
        <v>52</v>
      </c>
      <c r="E534" t="str">
        <f>"C03R4g"</f>
        <v>C03R4g</v>
      </c>
      <c r="F534" t="s">
        <v>71</v>
      </c>
      <c r="G534" t="s">
        <v>72</v>
      </c>
      <c r="H534" s="1">
        <v>234174.57</v>
      </c>
      <c r="I534" t="s">
        <v>298</v>
      </c>
      <c r="J534">
        <v>3627</v>
      </c>
      <c r="K534">
        <v>75388</v>
      </c>
      <c r="L534">
        <v>16148</v>
      </c>
      <c r="M534" t="s">
        <v>781</v>
      </c>
      <c r="N534" t="s">
        <v>782</v>
      </c>
      <c r="O534" t="s">
        <v>783</v>
      </c>
      <c r="P534">
        <v>6926</v>
      </c>
      <c r="Q534">
        <v>1205</v>
      </c>
      <c r="R534" t="s">
        <v>65</v>
      </c>
    </row>
    <row r="535" spans="1:18" x14ac:dyDescent="0.2">
      <c r="A535" t="s">
        <v>789</v>
      </c>
      <c r="B535" t="s">
        <v>780</v>
      </c>
      <c r="C535" t="s">
        <v>780</v>
      </c>
      <c r="D535" t="s">
        <v>52</v>
      </c>
      <c r="E535" t="str">
        <f>"C05R1is"</f>
        <v>C05R1is</v>
      </c>
      <c r="F535" t="s">
        <v>57</v>
      </c>
      <c r="G535" t="s">
        <v>58</v>
      </c>
      <c r="H535" s="1">
        <v>21294.02</v>
      </c>
      <c r="I535" t="s">
        <v>291</v>
      </c>
      <c r="J535">
        <v>298</v>
      </c>
      <c r="K535">
        <v>67288</v>
      </c>
      <c r="L535">
        <v>36896</v>
      </c>
      <c r="M535" t="s">
        <v>781</v>
      </c>
      <c r="N535" t="s">
        <v>782</v>
      </c>
      <c r="O535" t="s">
        <v>783</v>
      </c>
      <c r="P535">
        <v>6926</v>
      </c>
      <c r="Q535">
        <v>1205</v>
      </c>
      <c r="R535" t="s">
        <v>65</v>
      </c>
    </row>
    <row r="536" spans="1:18" x14ac:dyDescent="0.2">
      <c r="A536" t="s">
        <v>790</v>
      </c>
      <c r="B536" t="s">
        <v>780</v>
      </c>
      <c r="C536" t="s">
        <v>780</v>
      </c>
      <c r="D536" t="s">
        <v>52</v>
      </c>
      <c r="E536" t="str">
        <f>"C05R1is"</f>
        <v>C05R1is</v>
      </c>
      <c r="F536" t="s">
        <v>67</v>
      </c>
      <c r="G536" t="s">
        <v>68</v>
      </c>
      <c r="H536" s="1">
        <v>17066.13</v>
      </c>
      <c r="I536" t="s">
        <v>296</v>
      </c>
      <c r="J536">
        <v>1161</v>
      </c>
      <c r="K536">
        <v>67288</v>
      </c>
      <c r="L536">
        <v>36896</v>
      </c>
      <c r="M536" t="s">
        <v>781</v>
      </c>
      <c r="N536" t="s">
        <v>782</v>
      </c>
      <c r="O536" t="s">
        <v>783</v>
      </c>
      <c r="P536">
        <v>6926</v>
      </c>
      <c r="Q536">
        <v>1205</v>
      </c>
      <c r="R536" t="s">
        <v>65</v>
      </c>
    </row>
    <row r="537" spans="1:18" x14ac:dyDescent="0.2">
      <c r="A537" t="s">
        <v>791</v>
      </c>
      <c r="B537" t="s">
        <v>780</v>
      </c>
      <c r="C537" t="s">
        <v>780</v>
      </c>
      <c r="D537" t="s">
        <v>52</v>
      </c>
      <c r="E537" t="str">
        <f>"C05R2is"</f>
        <v>C05R2is</v>
      </c>
      <c r="F537" t="s">
        <v>57</v>
      </c>
      <c r="G537" t="s">
        <v>58</v>
      </c>
      <c r="H537" s="1">
        <v>20102.21</v>
      </c>
      <c r="I537" t="s">
        <v>291</v>
      </c>
      <c r="J537">
        <v>367</v>
      </c>
      <c r="K537">
        <v>67057</v>
      </c>
      <c r="L537">
        <v>35254</v>
      </c>
      <c r="M537" t="s">
        <v>781</v>
      </c>
      <c r="N537" t="s">
        <v>782</v>
      </c>
      <c r="O537" t="s">
        <v>783</v>
      </c>
      <c r="P537">
        <v>6926</v>
      </c>
      <c r="Q537">
        <v>1205</v>
      </c>
      <c r="R537" t="s">
        <v>65</v>
      </c>
    </row>
    <row r="538" spans="1:18" x14ac:dyDescent="0.2">
      <c r="A538" t="s">
        <v>792</v>
      </c>
      <c r="B538" t="s">
        <v>780</v>
      </c>
      <c r="C538" t="s">
        <v>780</v>
      </c>
      <c r="D538" t="s">
        <v>52</v>
      </c>
      <c r="E538" t="str">
        <f>"C05R2is"</f>
        <v>C05R2is</v>
      </c>
      <c r="F538" t="s">
        <v>67</v>
      </c>
      <c r="G538" t="s">
        <v>68</v>
      </c>
      <c r="H538" s="1">
        <v>11838.9</v>
      </c>
      <c r="I538" t="s">
        <v>296</v>
      </c>
      <c r="J538">
        <v>944</v>
      </c>
      <c r="K538">
        <v>67057</v>
      </c>
      <c r="L538">
        <v>35254</v>
      </c>
      <c r="M538" t="s">
        <v>781</v>
      </c>
      <c r="N538" t="s">
        <v>782</v>
      </c>
      <c r="O538" t="s">
        <v>783</v>
      </c>
      <c r="P538">
        <v>6926</v>
      </c>
      <c r="Q538">
        <v>1205</v>
      </c>
      <c r="R538" t="s">
        <v>65</v>
      </c>
    </row>
    <row r="539" spans="1:18" x14ac:dyDescent="0.2">
      <c r="A539" t="s">
        <v>793</v>
      </c>
      <c r="B539" t="s">
        <v>780</v>
      </c>
      <c r="C539" t="s">
        <v>780</v>
      </c>
      <c r="D539" t="s">
        <v>52</v>
      </c>
      <c r="E539" t="str">
        <f>"C05R3is"</f>
        <v>C05R3is</v>
      </c>
      <c r="F539" t="s">
        <v>57</v>
      </c>
      <c r="G539" t="s">
        <v>58</v>
      </c>
      <c r="H539" s="1">
        <v>13898.85</v>
      </c>
      <c r="I539" t="s">
        <v>291</v>
      </c>
      <c r="J539">
        <v>262</v>
      </c>
      <c r="K539">
        <v>66068</v>
      </c>
      <c r="L539">
        <v>36286</v>
      </c>
      <c r="M539" t="s">
        <v>781</v>
      </c>
      <c r="N539" t="s">
        <v>782</v>
      </c>
      <c r="O539" t="s">
        <v>783</v>
      </c>
      <c r="P539">
        <v>6926</v>
      </c>
      <c r="Q539">
        <v>1205</v>
      </c>
      <c r="R539" t="s">
        <v>65</v>
      </c>
    </row>
    <row r="540" spans="1:18" x14ac:dyDescent="0.2">
      <c r="A540" t="s">
        <v>794</v>
      </c>
      <c r="B540" t="s">
        <v>780</v>
      </c>
      <c r="C540" t="s">
        <v>780</v>
      </c>
      <c r="D540" t="s">
        <v>52</v>
      </c>
      <c r="E540" t="str">
        <f>"C05R3is"</f>
        <v>C05R3is</v>
      </c>
      <c r="F540" t="s">
        <v>67</v>
      </c>
      <c r="G540" t="s">
        <v>68</v>
      </c>
      <c r="H540" s="1">
        <v>16242.31</v>
      </c>
      <c r="I540" t="s">
        <v>296</v>
      </c>
      <c r="J540">
        <v>1148</v>
      </c>
      <c r="K540">
        <v>66068</v>
      </c>
      <c r="L540">
        <v>36286</v>
      </c>
      <c r="M540" t="s">
        <v>781</v>
      </c>
      <c r="N540" t="s">
        <v>782</v>
      </c>
      <c r="O540" t="s">
        <v>783</v>
      </c>
      <c r="P540">
        <v>6926</v>
      </c>
      <c r="Q540">
        <v>1205</v>
      </c>
      <c r="R540" t="s">
        <v>65</v>
      </c>
    </row>
    <row r="541" spans="1:18" x14ac:dyDescent="0.2">
      <c r="A541" t="s">
        <v>795</v>
      </c>
      <c r="B541" t="s">
        <v>780</v>
      </c>
      <c r="C541" t="s">
        <v>780</v>
      </c>
      <c r="D541" t="s">
        <v>52</v>
      </c>
      <c r="E541" t="str">
        <f>"C05R4g"</f>
        <v>C05R4g</v>
      </c>
      <c r="F541" t="s">
        <v>71</v>
      </c>
      <c r="G541" t="s">
        <v>72</v>
      </c>
      <c r="H541" s="1">
        <v>148307.78</v>
      </c>
      <c r="I541" t="s">
        <v>298</v>
      </c>
      <c r="J541">
        <v>1026</v>
      </c>
      <c r="K541">
        <v>67989</v>
      </c>
      <c r="L541">
        <v>35652</v>
      </c>
      <c r="M541" t="s">
        <v>781</v>
      </c>
      <c r="N541" t="s">
        <v>782</v>
      </c>
      <c r="O541" t="s">
        <v>783</v>
      </c>
      <c r="P541">
        <v>6926</v>
      </c>
      <c r="Q541">
        <v>1205</v>
      </c>
      <c r="R541" t="s">
        <v>65</v>
      </c>
    </row>
    <row r="542" spans="1:18" x14ac:dyDescent="0.2">
      <c r="A542" t="s">
        <v>796</v>
      </c>
      <c r="B542" t="s">
        <v>780</v>
      </c>
      <c r="C542" t="s">
        <v>780</v>
      </c>
      <c r="D542" t="s">
        <v>52</v>
      </c>
      <c r="E542" t="str">
        <f>"C05R5g"</f>
        <v>C05R5g</v>
      </c>
      <c r="F542" t="s">
        <v>71</v>
      </c>
      <c r="G542" t="s">
        <v>72</v>
      </c>
      <c r="H542" s="1">
        <v>143558.78</v>
      </c>
      <c r="I542" t="s">
        <v>298</v>
      </c>
      <c r="J542">
        <v>1022</v>
      </c>
      <c r="K542">
        <v>67965</v>
      </c>
      <c r="L542">
        <v>37871</v>
      </c>
      <c r="M542" t="s">
        <v>781</v>
      </c>
      <c r="N542" t="s">
        <v>782</v>
      </c>
      <c r="O542" t="s">
        <v>783</v>
      </c>
      <c r="P542">
        <v>6926</v>
      </c>
      <c r="Q542">
        <v>1205</v>
      </c>
      <c r="R542" t="s">
        <v>65</v>
      </c>
    </row>
    <row r="543" spans="1:18" x14ac:dyDescent="0.2">
      <c r="A543" t="s">
        <v>797</v>
      </c>
      <c r="B543" t="s">
        <v>780</v>
      </c>
      <c r="C543" t="s">
        <v>780</v>
      </c>
      <c r="D543" t="s">
        <v>52</v>
      </c>
      <c r="E543" t="str">
        <f>"C05R6g"</f>
        <v>C05R6g</v>
      </c>
      <c r="F543" t="s">
        <v>71</v>
      </c>
      <c r="G543" t="s">
        <v>72</v>
      </c>
      <c r="H543" s="1">
        <v>133358.56</v>
      </c>
      <c r="I543" t="s">
        <v>298</v>
      </c>
      <c r="J543">
        <v>695</v>
      </c>
      <c r="K543">
        <v>66135</v>
      </c>
      <c r="L543">
        <v>38049</v>
      </c>
      <c r="M543" t="s">
        <v>781</v>
      </c>
      <c r="N543" t="s">
        <v>782</v>
      </c>
      <c r="O543" t="s">
        <v>783</v>
      </c>
      <c r="P543">
        <v>6926</v>
      </c>
      <c r="Q543">
        <v>1205</v>
      </c>
      <c r="R543" t="s">
        <v>65</v>
      </c>
    </row>
    <row r="544" spans="1:18" x14ac:dyDescent="0.2">
      <c r="A544" t="s">
        <v>798</v>
      </c>
      <c r="B544" t="s">
        <v>780</v>
      </c>
      <c r="C544" t="s">
        <v>780</v>
      </c>
      <c r="D544" t="s">
        <v>52</v>
      </c>
      <c r="E544" t="str">
        <f>"C15R1is"</f>
        <v>C15R1is</v>
      </c>
      <c r="F544" t="s">
        <v>57</v>
      </c>
      <c r="G544" t="s">
        <v>58</v>
      </c>
      <c r="H544" s="1">
        <v>28308.89</v>
      </c>
      <c r="I544" t="s">
        <v>291</v>
      </c>
      <c r="J544">
        <v>317</v>
      </c>
      <c r="K544">
        <v>48821</v>
      </c>
      <c r="L544">
        <v>16975</v>
      </c>
      <c r="M544" t="s">
        <v>781</v>
      </c>
      <c r="N544" t="s">
        <v>782</v>
      </c>
      <c r="O544" t="s">
        <v>783</v>
      </c>
      <c r="P544">
        <v>6926</v>
      </c>
      <c r="Q544">
        <v>1205</v>
      </c>
      <c r="R544" t="s">
        <v>65</v>
      </c>
    </row>
    <row r="545" spans="1:18" x14ac:dyDescent="0.2">
      <c r="A545" t="s">
        <v>799</v>
      </c>
      <c r="B545" t="s">
        <v>780</v>
      </c>
      <c r="C545" t="s">
        <v>780</v>
      </c>
      <c r="D545" t="s">
        <v>52</v>
      </c>
      <c r="E545" t="str">
        <f>"C15R1is"</f>
        <v>C15R1is</v>
      </c>
      <c r="F545" t="s">
        <v>67</v>
      </c>
      <c r="G545" t="s">
        <v>68</v>
      </c>
      <c r="H545" s="1">
        <v>3592.23</v>
      </c>
      <c r="I545" t="s">
        <v>296</v>
      </c>
      <c r="J545">
        <v>131</v>
      </c>
      <c r="K545">
        <v>48821</v>
      </c>
      <c r="L545">
        <v>16975</v>
      </c>
      <c r="M545" t="s">
        <v>781</v>
      </c>
      <c r="N545" t="s">
        <v>782</v>
      </c>
      <c r="O545" t="s">
        <v>783</v>
      </c>
      <c r="P545">
        <v>6926</v>
      </c>
      <c r="Q545">
        <v>1205</v>
      </c>
      <c r="R545" t="s">
        <v>65</v>
      </c>
    </row>
    <row r="546" spans="1:18" x14ac:dyDescent="0.2">
      <c r="A546" t="s">
        <v>800</v>
      </c>
      <c r="B546" t="s">
        <v>780</v>
      </c>
      <c r="C546" t="s">
        <v>780</v>
      </c>
      <c r="D546" t="s">
        <v>52</v>
      </c>
      <c r="E546" t="str">
        <f>"C15R2g"</f>
        <v>C15R2g</v>
      </c>
      <c r="F546" t="s">
        <v>71</v>
      </c>
      <c r="G546" t="s">
        <v>72</v>
      </c>
      <c r="H546" s="1">
        <v>185435.32</v>
      </c>
      <c r="I546" t="s">
        <v>298</v>
      </c>
      <c r="J546">
        <v>661</v>
      </c>
      <c r="K546">
        <v>50513</v>
      </c>
      <c r="L546">
        <v>15355</v>
      </c>
      <c r="M546" t="s">
        <v>781</v>
      </c>
      <c r="N546" t="s">
        <v>782</v>
      </c>
      <c r="O546" t="s">
        <v>783</v>
      </c>
      <c r="P546">
        <v>6926</v>
      </c>
      <c r="Q546">
        <v>1205</v>
      </c>
      <c r="R546" t="s">
        <v>65</v>
      </c>
    </row>
    <row r="547" spans="1:18" x14ac:dyDescent="0.2">
      <c r="A547" t="s">
        <v>801</v>
      </c>
      <c r="B547" t="s">
        <v>780</v>
      </c>
      <c r="C547" t="s">
        <v>780</v>
      </c>
      <c r="D547" t="s">
        <v>52</v>
      </c>
      <c r="E547" t="str">
        <f>"C16R1is"</f>
        <v>C16R1is</v>
      </c>
      <c r="F547" t="s">
        <v>57</v>
      </c>
      <c r="G547" t="s">
        <v>58</v>
      </c>
      <c r="H547" s="1">
        <v>18930.240000000002</v>
      </c>
      <c r="I547" t="s">
        <v>291</v>
      </c>
      <c r="J547">
        <v>275</v>
      </c>
      <c r="K547">
        <v>47652</v>
      </c>
      <c r="L547">
        <v>8141</v>
      </c>
      <c r="M547" t="s">
        <v>781</v>
      </c>
      <c r="N547" t="s">
        <v>782</v>
      </c>
      <c r="O547" t="s">
        <v>783</v>
      </c>
      <c r="P547">
        <v>6926</v>
      </c>
      <c r="Q547">
        <v>1205</v>
      </c>
      <c r="R547" t="s">
        <v>65</v>
      </c>
    </row>
    <row r="548" spans="1:18" x14ac:dyDescent="0.2">
      <c r="A548" t="s">
        <v>802</v>
      </c>
      <c r="B548" t="s">
        <v>780</v>
      </c>
      <c r="C548" t="s">
        <v>780</v>
      </c>
      <c r="D548" t="s">
        <v>52</v>
      </c>
      <c r="E548" t="str">
        <f>"C16R1is"</f>
        <v>C16R1is</v>
      </c>
      <c r="F548" t="s">
        <v>67</v>
      </c>
      <c r="G548" t="s">
        <v>68</v>
      </c>
      <c r="H548" s="1">
        <v>4387.8900000000003</v>
      </c>
      <c r="I548" t="s">
        <v>296</v>
      </c>
      <c r="J548">
        <v>114</v>
      </c>
      <c r="K548">
        <v>47652</v>
      </c>
      <c r="L548">
        <v>8141</v>
      </c>
      <c r="M548" t="s">
        <v>781</v>
      </c>
      <c r="N548" t="s">
        <v>782</v>
      </c>
      <c r="O548" t="s">
        <v>783</v>
      </c>
      <c r="P548">
        <v>6926</v>
      </c>
      <c r="Q548">
        <v>1205</v>
      </c>
      <c r="R548" t="s">
        <v>65</v>
      </c>
    </row>
    <row r="549" spans="1:18" x14ac:dyDescent="0.2">
      <c r="A549" t="s">
        <v>803</v>
      </c>
      <c r="B549" t="s">
        <v>780</v>
      </c>
      <c r="C549" t="s">
        <v>780</v>
      </c>
      <c r="D549" t="s">
        <v>52</v>
      </c>
      <c r="E549" t="str">
        <f>"C16R2g"</f>
        <v>C16R2g</v>
      </c>
      <c r="F549" t="s">
        <v>71</v>
      </c>
      <c r="G549" t="s">
        <v>72</v>
      </c>
      <c r="H549" s="1">
        <v>151155.71</v>
      </c>
      <c r="I549" t="s">
        <v>298</v>
      </c>
      <c r="J549">
        <v>502</v>
      </c>
      <c r="K549">
        <v>51094</v>
      </c>
      <c r="L549">
        <v>8311</v>
      </c>
      <c r="M549" t="s">
        <v>781</v>
      </c>
      <c r="N549" t="s">
        <v>782</v>
      </c>
      <c r="O549" t="s">
        <v>783</v>
      </c>
      <c r="P549">
        <v>6926</v>
      </c>
      <c r="Q549">
        <v>1205</v>
      </c>
      <c r="R549" t="s">
        <v>65</v>
      </c>
    </row>
    <row r="550" spans="1:18" x14ac:dyDescent="0.2">
      <c r="A550" t="s">
        <v>804</v>
      </c>
      <c r="B550" t="s">
        <v>780</v>
      </c>
      <c r="C550" t="s">
        <v>780</v>
      </c>
      <c r="D550" t="s">
        <v>52</v>
      </c>
      <c r="E550" t="str">
        <f>"C25R1is"</f>
        <v>C25R1is</v>
      </c>
      <c r="F550" t="s">
        <v>57</v>
      </c>
      <c r="G550" t="s">
        <v>58</v>
      </c>
      <c r="H550" s="1">
        <v>25333.439999999999</v>
      </c>
      <c r="I550" t="s">
        <v>291</v>
      </c>
      <c r="J550">
        <v>350</v>
      </c>
      <c r="K550">
        <v>37699</v>
      </c>
      <c r="L550">
        <v>37389</v>
      </c>
      <c r="M550" t="s">
        <v>781</v>
      </c>
      <c r="N550" t="s">
        <v>782</v>
      </c>
      <c r="O550" t="s">
        <v>783</v>
      </c>
      <c r="P550">
        <v>6926</v>
      </c>
      <c r="Q550">
        <v>1205</v>
      </c>
      <c r="R550" t="s">
        <v>65</v>
      </c>
    </row>
    <row r="551" spans="1:18" x14ac:dyDescent="0.2">
      <c r="A551" t="s">
        <v>805</v>
      </c>
      <c r="B551" t="s">
        <v>780</v>
      </c>
      <c r="C551" t="s">
        <v>780</v>
      </c>
      <c r="D551" t="s">
        <v>52</v>
      </c>
      <c r="E551" t="str">
        <f>"C25R1is"</f>
        <v>C25R1is</v>
      </c>
      <c r="F551" t="s">
        <v>67</v>
      </c>
      <c r="G551" t="s">
        <v>68</v>
      </c>
      <c r="H551" s="1">
        <v>7108.46</v>
      </c>
      <c r="I551" t="s">
        <v>296</v>
      </c>
      <c r="J551">
        <v>221</v>
      </c>
      <c r="K551">
        <v>37699</v>
      </c>
      <c r="L551">
        <v>37389</v>
      </c>
      <c r="M551" t="s">
        <v>781</v>
      </c>
      <c r="N551" t="s">
        <v>782</v>
      </c>
      <c r="O551" t="s">
        <v>783</v>
      </c>
      <c r="P551">
        <v>6926</v>
      </c>
      <c r="Q551">
        <v>1205</v>
      </c>
      <c r="R551" t="s">
        <v>65</v>
      </c>
    </row>
    <row r="552" spans="1:18" x14ac:dyDescent="0.2">
      <c r="A552" t="s">
        <v>806</v>
      </c>
      <c r="B552" t="s">
        <v>780</v>
      </c>
      <c r="C552" t="s">
        <v>780</v>
      </c>
      <c r="D552" t="s">
        <v>52</v>
      </c>
      <c r="E552" t="str">
        <f>"C25R2g"</f>
        <v>C25R2g</v>
      </c>
      <c r="F552" t="s">
        <v>71</v>
      </c>
      <c r="G552" t="s">
        <v>72</v>
      </c>
      <c r="H552" s="1">
        <v>250181.69</v>
      </c>
      <c r="I552" t="s">
        <v>298</v>
      </c>
      <c r="J552">
        <v>1717</v>
      </c>
      <c r="K552">
        <v>39165</v>
      </c>
      <c r="L552">
        <v>38507</v>
      </c>
      <c r="M552" t="s">
        <v>781</v>
      </c>
      <c r="N552" t="s">
        <v>782</v>
      </c>
      <c r="O552" t="s">
        <v>783</v>
      </c>
      <c r="P552">
        <v>6926</v>
      </c>
      <c r="Q552">
        <v>1205</v>
      </c>
      <c r="R552" t="s">
        <v>65</v>
      </c>
    </row>
    <row r="553" spans="1:18" x14ac:dyDescent="0.2">
      <c r="A553" t="s">
        <v>807</v>
      </c>
      <c r="B553" t="s">
        <v>780</v>
      </c>
      <c r="C553" t="s">
        <v>780</v>
      </c>
      <c r="D553" t="s">
        <v>52</v>
      </c>
      <c r="E553" t="str">
        <f>"C26R1is"</f>
        <v>C26R1is</v>
      </c>
      <c r="F553" t="s">
        <v>57</v>
      </c>
      <c r="G553" t="s">
        <v>58</v>
      </c>
      <c r="H553" s="1">
        <v>9218.01</v>
      </c>
      <c r="I553" t="s">
        <v>291</v>
      </c>
      <c r="J553">
        <v>125</v>
      </c>
      <c r="K553">
        <v>34908</v>
      </c>
      <c r="L553">
        <v>24138</v>
      </c>
      <c r="M553" t="s">
        <v>781</v>
      </c>
      <c r="N553" t="s">
        <v>782</v>
      </c>
      <c r="O553" t="s">
        <v>783</v>
      </c>
      <c r="P553">
        <v>6926</v>
      </c>
      <c r="Q553">
        <v>1205</v>
      </c>
      <c r="R553" t="s">
        <v>65</v>
      </c>
    </row>
    <row r="554" spans="1:18" x14ac:dyDescent="0.2">
      <c r="A554" t="s">
        <v>808</v>
      </c>
      <c r="B554" t="s">
        <v>780</v>
      </c>
      <c r="C554" t="s">
        <v>780</v>
      </c>
      <c r="D554" t="s">
        <v>52</v>
      </c>
      <c r="E554" t="str">
        <f>"C26R1is"</f>
        <v>C26R1is</v>
      </c>
      <c r="F554" t="s">
        <v>67</v>
      </c>
      <c r="G554" t="s">
        <v>68</v>
      </c>
      <c r="H554" s="1">
        <v>6992.3</v>
      </c>
      <c r="I554" t="s">
        <v>296</v>
      </c>
      <c r="J554">
        <v>471</v>
      </c>
      <c r="K554">
        <v>34908</v>
      </c>
      <c r="L554">
        <v>24138</v>
      </c>
      <c r="M554" t="s">
        <v>781</v>
      </c>
      <c r="N554" t="s">
        <v>782</v>
      </c>
      <c r="O554" t="s">
        <v>783</v>
      </c>
      <c r="P554">
        <v>6926</v>
      </c>
      <c r="Q554">
        <v>1205</v>
      </c>
      <c r="R554" t="s">
        <v>65</v>
      </c>
    </row>
    <row r="555" spans="1:18" x14ac:dyDescent="0.2">
      <c r="A555" t="s">
        <v>809</v>
      </c>
      <c r="B555" t="s">
        <v>780</v>
      </c>
      <c r="C555" t="s">
        <v>780</v>
      </c>
      <c r="D555" t="s">
        <v>52</v>
      </c>
      <c r="E555" t="str">
        <f>"C26R2g"</f>
        <v>C26R2g</v>
      </c>
      <c r="F555" t="s">
        <v>71</v>
      </c>
      <c r="G555" t="s">
        <v>72</v>
      </c>
      <c r="H555" s="1">
        <v>262979.61</v>
      </c>
      <c r="I555" t="s">
        <v>298</v>
      </c>
      <c r="J555">
        <v>1100</v>
      </c>
      <c r="K555">
        <v>35328</v>
      </c>
      <c r="L555">
        <v>21383</v>
      </c>
      <c r="M555" t="s">
        <v>781</v>
      </c>
      <c r="N555" t="s">
        <v>782</v>
      </c>
      <c r="O555" t="s">
        <v>783</v>
      </c>
      <c r="P555">
        <v>6926</v>
      </c>
      <c r="Q555">
        <v>1205</v>
      </c>
      <c r="R555" t="s">
        <v>65</v>
      </c>
    </row>
    <row r="556" spans="1:18" x14ac:dyDescent="0.2">
      <c r="A556" t="s">
        <v>810</v>
      </c>
      <c r="B556" t="s">
        <v>780</v>
      </c>
      <c r="C556" t="s">
        <v>780</v>
      </c>
      <c r="D556" t="s">
        <v>52</v>
      </c>
      <c r="E556" t="str">
        <f>"C30R1is"</f>
        <v>C30R1is</v>
      </c>
      <c r="F556" t="s">
        <v>57</v>
      </c>
      <c r="G556" t="s">
        <v>58</v>
      </c>
      <c r="H556" s="1">
        <v>29496.86</v>
      </c>
      <c r="I556" t="s">
        <v>291</v>
      </c>
      <c r="J556">
        <v>344</v>
      </c>
      <c r="K556" t="s">
        <v>811</v>
      </c>
      <c r="L556" t="s">
        <v>812</v>
      </c>
      <c r="M556" t="s">
        <v>781</v>
      </c>
      <c r="N556" t="s">
        <v>782</v>
      </c>
      <c r="O556" t="s">
        <v>783</v>
      </c>
      <c r="P556">
        <v>6926</v>
      </c>
      <c r="Q556">
        <v>1205</v>
      </c>
      <c r="R556" t="s">
        <v>65</v>
      </c>
    </row>
    <row r="557" spans="1:18" x14ac:dyDescent="0.2">
      <c r="A557" t="s">
        <v>813</v>
      </c>
      <c r="B557" t="s">
        <v>780</v>
      </c>
      <c r="C557" t="s">
        <v>780</v>
      </c>
      <c r="D557" t="s">
        <v>52</v>
      </c>
      <c r="E557" t="str">
        <f>"C30R1is"</f>
        <v>C30R1is</v>
      </c>
      <c r="F557" t="s">
        <v>67</v>
      </c>
      <c r="G557" t="s">
        <v>68</v>
      </c>
      <c r="H557" s="1">
        <v>13718.53</v>
      </c>
      <c r="I557" t="s">
        <v>296</v>
      </c>
      <c r="J557">
        <v>686</v>
      </c>
      <c r="K557" t="s">
        <v>811</v>
      </c>
      <c r="L557" t="s">
        <v>812</v>
      </c>
      <c r="M557" t="s">
        <v>781</v>
      </c>
      <c r="N557" t="s">
        <v>782</v>
      </c>
      <c r="O557" t="s">
        <v>783</v>
      </c>
      <c r="P557">
        <v>6926</v>
      </c>
      <c r="Q557">
        <v>1205</v>
      </c>
      <c r="R557" t="s">
        <v>65</v>
      </c>
    </row>
    <row r="558" spans="1:18" x14ac:dyDescent="0.2">
      <c r="A558" t="s">
        <v>814</v>
      </c>
      <c r="B558" t="s">
        <v>780</v>
      </c>
      <c r="C558" t="s">
        <v>780</v>
      </c>
      <c r="D558" t="s">
        <v>52</v>
      </c>
      <c r="E558" t="str">
        <f>"C30R2is"</f>
        <v>C30R2is</v>
      </c>
      <c r="F558" t="s">
        <v>57</v>
      </c>
      <c r="G558" t="s">
        <v>58</v>
      </c>
      <c r="H558" s="1">
        <v>46397.23</v>
      </c>
      <c r="I558" t="s">
        <v>291</v>
      </c>
      <c r="J558">
        <v>435</v>
      </c>
      <c r="K558" t="s">
        <v>815</v>
      </c>
      <c r="L558" t="s">
        <v>816</v>
      </c>
      <c r="M558" t="s">
        <v>781</v>
      </c>
      <c r="N558" t="s">
        <v>782</v>
      </c>
      <c r="O558" t="s">
        <v>783</v>
      </c>
      <c r="P558">
        <v>6926</v>
      </c>
      <c r="Q558">
        <v>1205</v>
      </c>
      <c r="R558" t="s">
        <v>65</v>
      </c>
    </row>
    <row r="559" spans="1:18" x14ac:dyDescent="0.2">
      <c r="A559" t="s">
        <v>817</v>
      </c>
      <c r="B559" t="s">
        <v>780</v>
      </c>
      <c r="C559" t="s">
        <v>780</v>
      </c>
      <c r="D559" t="s">
        <v>52</v>
      </c>
      <c r="E559" t="str">
        <f>"C30R2is"</f>
        <v>C30R2is</v>
      </c>
      <c r="F559" t="s">
        <v>67</v>
      </c>
      <c r="G559" t="s">
        <v>68</v>
      </c>
      <c r="H559" s="1">
        <v>10880.37</v>
      </c>
      <c r="I559" t="s">
        <v>296</v>
      </c>
      <c r="J559">
        <v>522</v>
      </c>
      <c r="K559" t="s">
        <v>815</v>
      </c>
      <c r="L559" t="s">
        <v>816</v>
      </c>
      <c r="M559" t="s">
        <v>781</v>
      </c>
      <c r="N559" t="s">
        <v>782</v>
      </c>
      <c r="O559" t="s">
        <v>783</v>
      </c>
      <c r="P559">
        <v>6926</v>
      </c>
      <c r="Q559">
        <v>1205</v>
      </c>
      <c r="R559" t="s">
        <v>65</v>
      </c>
    </row>
    <row r="560" spans="1:18" x14ac:dyDescent="0.2">
      <c r="A560" t="s">
        <v>818</v>
      </c>
      <c r="B560" t="s">
        <v>780</v>
      </c>
      <c r="C560" t="s">
        <v>780</v>
      </c>
      <c r="D560" t="s">
        <v>52</v>
      </c>
      <c r="E560" t="str">
        <f>"C30R3g"</f>
        <v>C30R3g</v>
      </c>
      <c r="F560" t="s">
        <v>71</v>
      </c>
      <c r="G560" t="s">
        <v>72</v>
      </c>
      <c r="H560" s="1">
        <v>252853.62</v>
      </c>
      <c r="I560" t="s">
        <v>298</v>
      </c>
      <c r="J560">
        <v>1256</v>
      </c>
      <c r="K560" t="s">
        <v>819</v>
      </c>
      <c r="L560" t="s">
        <v>820</v>
      </c>
      <c r="M560" t="s">
        <v>781</v>
      </c>
      <c r="N560" t="s">
        <v>782</v>
      </c>
      <c r="O560" t="s">
        <v>783</v>
      </c>
      <c r="P560">
        <v>6926</v>
      </c>
      <c r="Q560">
        <v>1205</v>
      </c>
      <c r="R560" t="s">
        <v>65</v>
      </c>
    </row>
    <row r="561" spans="1:18" x14ac:dyDescent="0.2">
      <c r="A561" t="s">
        <v>821</v>
      </c>
      <c r="B561" t="s">
        <v>780</v>
      </c>
      <c r="C561" t="s">
        <v>780</v>
      </c>
      <c r="D561" t="s">
        <v>52</v>
      </c>
      <c r="E561" t="str">
        <f>"C30R4g"</f>
        <v>C30R4g</v>
      </c>
      <c r="F561" t="s">
        <v>71</v>
      </c>
      <c r="G561" t="s">
        <v>72</v>
      </c>
      <c r="H561" s="1">
        <v>215449.93</v>
      </c>
      <c r="I561" t="s">
        <v>298</v>
      </c>
      <c r="J561">
        <v>1149</v>
      </c>
      <c r="K561" t="s">
        <v>822</v>
      </c>
      <c r="L561" t="s">
        <v>823</v>
      </c>
      <c r="M561" t="s">
        <v>781</v>
      </c>
      <c r="N561" t="s">
        <v>782</v>
      </c>
      <c r="O561" t="s">
        <v>783</v>
      </c>
      <c r="P561">
        <v>6926</v>
      </c>
      <c r="Q561">
        <v>1205</v>
      </c>
      <c r="R561" t="s">
        <v>65</v>
      </c>
    </row>
    <row r="562" spans="1:18" x14ac:dyDescent="0.2">
      <c r="A562" t="s">
        <v>824</v>
      </c>
      <c r="B562" t="s">
        <v>780</v>
      </c>
      <c r="C562" t="s">
        <v>780</v>
      </c>
      <c r="D562" t="s">
        <v>52</v>
      </c>
      <c r="E562" t="str">
        <f>"C33R1is"</f>
        <v>C33R1is</v>
      </c>
      <c r="F562" t="s">
        <v>57</v>
      </c>
      <c r="G562" t="s">
        <v>58</v>
      </c>
      <c r="H562" s="1">
        <v>10400.379999999999</v>
      </c>
      <c r="I562" t="s">
        <v>291</v>
      </c>
      <c r="J562">
        <v>138</v>
      </c>
      <c r="K562">
        <v>20998</v>
      </c>
      <c r="L562">
        <v>33100</v>
      </c>
      <c r="M562" t="s">
        <v>781</v>
      </c>
      <c r="N562" t="s">
        <v>782</v>
      </c>
      <c r="O562" t="s">
        <v>783</v>
      </c>
      <c r="P562">
        <v>6926</v>
      </c>
      <c r="Q562">
        <v>1205</v>
      </c>
      <c r="R562" t="s">
        <v>65</v>
      </c>
    </row>
    <row r="563" spans="1:18" x14ac:dyDescent="0.2">
      <c r="A563" t="s">
        <v>825</v>
      </c>
      <c r="B563" t="s">
        <v>780</v>
      </c>
      <c r="C563" t="s">
        <v>780</v>
      </c>
      <c r="D563" t="s">
        <v>52</v>
      </c>
      <c r="E563" t="str">
        <f>"C33R1is"</f>
        <v>C33R1is</v>
      </c>
      <c r="F563" t="s">
        <v>67</v>
      </c>
      <c r="G563" t="s">
        <v>68</v>
      </c>
      <c r="H563" s="1">
        <v>18542.25</v>
      </c>
      <c r="I563" t="s">
        <v>296</v>
      </c>
      <c r="J563">
        <v>1005</v>
      </c>
      <c r="K563">
        <v>20998</v>
      </c>
      <c r="L563">
        <v>33100</v>
      </c>
      <c r="M563" t="s">
        <v>781</v>
      </c>
      <c r="N563" t="s">
        <v>782</v>
      </c>
      <c r="O563" t="s">
        <v>783</v>
      </c>
      <c r="P563">
        <v>6926</v>
      </c>
      <c r="Q563">
        <v>1205</v>
      </c>
      <c r="R563" t="s">
        <v>65</v>
      </c>
    </row>
    <row r="564" spans="1:18" x14ac:dyDescent="0.2">
      <c r="A564" t="s">
        <v>826</v>
      </c>
      <c r="B564" t="s">
        <v>780</v>
      </c>
      <c r="C564" t="s">
        <v>780</v>
      </c>
      <c r="D564" t="s">
        <v>52</v>
      </c>
      <c r="E564" t="str">
        <f>"C33R2is"</f>
        <v>C33R2is</v>
      </c>
      <c r="F564" t="s">
        <v>57</v>
      </c>
      <c r="G564" t="s">
        <v>58</v>
      </c>
      <c r="H564" s="1">
        <v>9918.15</v>
      </c>
      <c r="I564" t="s">
        <v>291</v>
      </c>
      <c r="J564">
        <v>106</v>
      </c>
      <c r="K564">
        <v>22663</v>
      </c>
      <c r="L564">
        <v>31829</v>
      </c>
      <c r="M564" t="s">
        <v>781</v>
      </c>
      <c r="N564" t="s">
        <v>782</v>
      </c>
      <c r="O564" t="s">
        <v>783</v>
      </c>
      <c r="P564">
        <v>6926</v>
      </c>
      <c r="Q564">
        <v>1205</v>
      </c>
      <c r="R564" t="s">
        <v>65</v>
      </c>
    </row>
    <row r="565" spans="1:18" x14ac:dyDescent="0.2">
      <c r="A565" t="s">
        <v>827</v>
      </c>
      <c r="B565" t="s">
        <v>780</v>
      </c>
      <c r="C565" t="s">
        <v>780</v>
      </c>
      <c r="D565" t="s">
        <v>52</v>
      </c>
      <c r="E565" t="str">
        <f>"C33R2is"</f>
        <v>C33R2is</v>
      </c>
      <c r="F565" t="s">
        <v>67</v>
      </c>
      <c r="G565" t="s">
        <v>68</v>
      </c>
      <c r="H565" s="1">
        <v>19950.060000000001</v>
      </c>
      <c r="I565" t="s">
        <v>296</v>
      </c>
      <c r="J565">
        <v>1033</v>
      </c>
      <c r="K565">
        <v>22663</v>
      </c>
      <c r="L565">
        <v>31829</v>
      </c>
      <c r="M565" t="s">
        <v>781</v>
      </c>
      <c r="N565" t="s">
        <v>782</v>
      </c>
      <c r="O565" t="s">
        <v>783</v>
      </c>
      <c r="P565">
        <v>6926</v>
      </c>
      <c r="Q565">
        <v>1205</v>
      </c>
      <c r="R565" t="s">
        <v>65</v>
      </c>
    </row>
    <row r="566" spans="1:18" x14ac:dyDescent="0.2">
      <c r="A566" t="s">
        <v>828</v>
      </c>
      <c r="B566" t="s">
        <v>780</v>
      </c>
      <c r="C566" t="s">
        <v>780</v>
      </c>
      <c r="D566" t="s">
        <v>52</v>
      </c>
      <c r="E566" t="str">
        <f>"C33R3g"</f>
        <v>C33R3g</v>
      </c>
      <c r="F566" t="s">
        <v>71</v>
      </c>
      <c r="G566" t="s">
        <v>72</v>
      </c>
      <c r="H566" s="1">
        <v>144657.63</v>
      </c>
      <c r="I566" t="s">
        <v>298</v>
      </c>
      <c r="J566">
        <v>1310</v>
      </c>
      <c r="K566">
        <v>21209</v>
      </c>
      <c r="L566">
        <v>31449</v>
      </c>
      <c r="M566" t="s">
        <v>781</v>
      </c>
      <c r="N566" t="s">
        <v>782</v>
      </c>
      <c r="O566" t="s">
        <v>783</v>
      </c>
      <c r="P566">
        <v>6926</v>
      </c>
      <c r="Q566">
        <v>1205</v>
      </c>
      <c r="R566" t="s">
        <v>65</v>
      </c>
    </row>
    <row r="567" spans="1:18" x14ac:dyDescent="0.2">
      <c r="A567" t="s">
        <v>829</v>
      </c>
      <c r="B567" t="s">
        <v>780</v>
      </c>
      <c r="C567" t="s">
        <v>780</v>
      </c>
      <c r="D567" t="s">
        <v>52</v>
      </c>
      <c r="E567" t="str">
        <f>"C33R4g"</f>
        <v>C33R4g</v>
      </c>
      <c r="F567" t="s">
        <v>71</v>
      </c>
      <c r="G567" t="s">
        <v>72</v>
      </c>
      <c r="H567" s="1">
        <v>142388.57</v>
      </c>
      <c r="I567" t="s">
        <v>298</v>
      </c>
      <c r="J567">
        <v>1327</v>
      </c>
      <c r="K567">
        <v>22767</v>
      </c>
      <c r="L567">
        <v>33183</v>
      </c>
      <c r="M567" t="s">
        <v>781</v>
      </c>
      <c r="N567" t="s">
        <v>782</v>
      </c>
      <c r="O567" t="s">
        <v>783</v>
      </c>
      <c r="P567">
        <v>6926</v>
      </c>
      <c r="Q567">
        <v>1205</v>
      </c>
      <c r="R567" t="s">
        <v>65</v>
      </c>
    </row>
    <row r="568" spans="1:18" x14ac:dyDescent="0.2">
      <c r="A568" t="s">
        <v>830</v>
      </c>
      <c r="B568" t="s">
        <v>780</v>
      </c>
      <c r="C568" t="s">
        <v>780</v>
      </c>
      <c r="D568" t="s">
        <v>52</v>
      </c>
      <c r="E568" t="str">
        <f>"C38R1is"</f>
        <v>C38R1is</v>
      </c>
      <c r="F568" t="s">
        <v>57</v>
      </c>
      <c r="G568" t="s">
        <v>58</v>
      </c>
      <c r="H568" s="1">
        <v>5313.47</v>
      </c>
      <c r="I568" t="s">
        <v>291</v>
      </c>
      <c r="J568">
        <v>27</v>
      </c>
      <c r="K568">
        <v>8206</v>
      </c>
      <c r="L568">
        <v>33459</v>
      </c>
      <c r="M568" t="s">
        <v>781</v>
      </c>
      <c r="N568" t="s">
        <v>782</v>
      </c>
      <c r="O568" t="s">
        <v>783</v>
      </c>
      <c r="P568">
        <v>6926</v>
      </c>
      <c r="Q568">
        <v>1205</v>
      </c>
      <c r="R568" t="s">
        <v>65</v>
      </c>
    </row>
    <row r="569" spans="1:18" x14ac:dyDescent="0.2">
      <c r="A569" t="s">
        <v>831</v>
      </c>
      <c r="B569" t="s">
        <v>780</v>
      </c>
      <c r="C569" t="s">
        <v>780</v>
      </c>
      <c r="D569" t="s">
        <v>52</v>
      </c>
      <c r="E569" t="str">
        <f>"C38R1is"</f>
        <v>C38R1is</v>
      </c>
      <c r="F569" t="s">
        <v>67</v>
      </c>
      <c r="G569" t="s">
        <v>68</v>
      </c>
      <c r="H569" s="1">
        <v>6545.91</v>
      </c>
      <c r="I569" t="s">
        <v>296</v>
      </c>
      <c r="J569">
        <v>121</v>
      </c>
      <c r="K569">
        <v>8206</v>
      </c>
      <c r="L569">
        <v>33459</v>
      </c>
      <c r="M569" t="s">
        <v>781</v>
      </c>
      <c r="N569" t="s">
        <v>782</v>
      </c>
      <c r="O569" t="s">
        <v>783</v>
      </c>
      <c r="P569">
        <v>6926</v>
      </c>
      <c r="Q569">
        <v>1205</v>
      </c>
      <c r="R569" t="s">
        <v>65</v>
      </c>
    </row>
    <row r="570" spans="1:18" x14ac:dyDescent="0.2">
      <c r="A570" t="s">
        <v>832</v>
      </c>
      <c r="B570" t="s">
        <v>780</v>
      </c>
      <c r="C570" t="s">
        <v>780</v>
      </c>
      <c r="D570" t="s">
        <v>52</v>
      </c>
      <c r="E570" t="str">
        <f>"C38R2is"</f>
        <v>C38R2is</v>
      </c>
      <c r="F570" t="s">
        <v>57</v>
      </c>
      <c r="G570" t="s">
        <v>58</v>
      </c>
      <c r="H570" s="1">
        <v>7852.6</v>
      </c>
      <c r="I570" t="s">
        <v>291</v>
      </c>
      <c r="J570">
        <v>58</v>
      </c>
      <c r="K570">
        <v>6732</v>
      </c>
      <c r="L570">
        <v>34363</v>
      </c>
      <c r="M570" t="s">
        <v>781</v>
      </c>
      <c r="N570" t="s">
        <v>782</v>
      </c>
      <c r="O570" t="s">
        <v>783</v>
      </c>
      <c r="P570">
        <v>6926</v>
      </c>
      <c r="Q570">
        <v>1205</v>
      </c>
      <c r="R570" t="s">
        <v>65</v>
      </c>
    </row>
    <row r="571" spans="1:18" x14ac:dyDescent="0.2">
      <c r="A571" t="s">
        <v>833</v>
      </c>
      <c r="B571" t="s">
        <v>780</v>
      </c>
      <c r="C571" t="s">
        <v>780</v>
      </c>
      <c r="D571" t="s">
        <v>52</v>
      </c>
      <c r="E571" t="str">
        <f>"C38R2is"</f>
        <v>C38R2is</v>
      </c>
      <c r="F571" t="s">
        <v>67</v>
      </c>
      <c r="G571" t="s">
        <v>68</v>
      </c>
      <c r="H571" s="1">
        <v>12218.41</v>
      </c>
      <c r="I571" t="s">
        <v>296</v>
      </c>
      <c r="J571">
        <v>163</v>
      </c>
      <c r="K571">
        <v>6732</v>
      </c>
      <c r="L571">
        <v>34363</v>
      </c>
      <c r="M571" t="s">
        <v>781</v>
      </c>
      <c r="N571" t="s">
        <v>782</v>
      </c>
      <c r="O571" t="s">
        <v>783</v>
      </c>
      <c r="P571">
        <v>6926</v>
      </c>
      <c r="Q571">
        <v>1205</v>
      </c>
      <c r="R571" t="s">
        <v>65</v>
      </c>
    </row>
    <row r="572" spans="1:18" x14ac:dyDescent="0.2">
      <c r="A572" t="s">
        <v>834</v>
      </c>
      <c r="B572" t="s">
        <v>780</v>
      </c>
      <c r="C572" t="s">
        <v>780</v>
      </c>
      <c r="D572" t="s">
        <v>52</v>
      </c>
      <c r="E572" t="str">
        <f>"C38R3is"</f>
        <v>C38R3is</v>
      </c>
      <c r="F572" t="s">
        <v>57</v>
      </c>
      <c r="G572" t="s">
        <v>58</v>
      </c>
      <c r="H572" s="1">
        <v>7329.26</v>
      </c>
      <c r="I572" t="s">
        <v>291</v>
      </c>
      <c r="J572">
        <v>55</v>
      </c>
      <c r="K572">
        <v>9320</v>
      </c>
      <c r="L572">
        <v>32860</v>
      </c>
      <c r="M572" t="s">
        <v>781</v>
      </c>
      <c r="N572" t="s">
        <v>782</v>
      </c>
      <c r="O572" t="s">
        <v>783</v>
      </c>
      <c r="P572">
        <v>6926</v>
      </c>
      <c r="Q572">
        <v>1205</v>
      </c>
      <c r="R572" t="s">
        <v>65</v>
      </c>
    </row>
    <row r="573" spans="1:18" x14ac:dyDescent="0.2">
      <c r="A573" t="s">
        <v>835</v>
      </c>
      <c r="B573" t="s">
        <v>780</v>
      </c>
      <c r="C573" t="s">
        <v>780</v>
      </c>
      <c r="D573" t="s">
        <v>52</v>
      </c>
      <c r="E573" t="str">
        <f>"C38R3is"</f>
        <v>C38R3is</v>
      </c>
      <c r="F573" t="s">
        <v>67</v>
      </c>
      <c r="G573" t="s">
        <v>68</v>
      </c>
      <c r="H573" s="1">
        <v>13091.51</v>
      </c>
      <c r="I573" t="s">
        <v>296</v>
      </c>
      <c r="J573">
        <v>231</v>
      </c>
      <c r="K573">
        <v>9320</v>
      </c>
      <c r="L573">
        <v>32860</v>
      </c>
      <c r="M573" t="s">
        <v>781</v>
      </c>
      <c r="N573" t="s">
        <v>782</v>
      </c>
      <c r="O573" t="s">
        <v>783</v>
      </c>
      <c r="P573">
        <v>6926</v>
      </c>
      <c r="Q573">
        <v>1205</v>
      </c>
      <c r="R573" t="s">
        <v>65</v>
      </c>
    </row>
    <row r="574" spans="1:18" x14ac:dyDescent="0.2">
      <c r="A574" t="s">
        <v>836</v>
      </c>
      <c r="B574" t="s">
        <v>780</v>
      </c>
      <c r="C574" t="s">
        <v>780</v>
      </c>
      <c r="D574" t="s">
        <v>52</v>
      </c>
      <c r="E574" t="str">
        <f>"C38R4is"</f>
        <v>C38R4is</v>
      </c>
      <c r="F574" t="s">
        <v>57</v>
      </c>
      <c r="G574" t="s">
        <v>58</v>
      </c>
      <c r="H574" s="1">
        <v>8085.24</v>
      </c>
      <c r="I574" t="s">
        <v>291</v>
      </c>
      <c r="J574">
        <v>36</v>
      </c>
      <c r="K574">
        <v>6443</v>
      </c>
      <c r="L574">
        <v>32875</v>
      </c>
      <c r="M574" t="s">
        <v>781</v>
      </c>
      <c r="N574" t="s">
        <v>782</v>
      </c>
      <c r="O574" t="s">
        <v>783</v>
      </c>
      <c r="P574">
        <v>6926</v>
      </c>
      <c r="Q574">
        <v>1205</v>
      </c>
      <c r="R574" t="s">
        <v>65</v>
      </c>
    </row>
    <row r="575" spans="1:18" x14ac:dyDescent="0.2">
      <c r="A575" t="s">
        <v>837</v>
      </c>
      <c r="B575" t="s">
        <v>780</v>
      </c>
      <c r="C575" t="s">
        <v>780</v>
      </c>
      <c r="D575" t="s">
        <v>52</v>
      </c>
      <c r="E575" t="str">
        <f>"C38R4is"</f>
        <v>C38R4is</v>
      </c>
      <c r="F575" t="s">
        <v>67</v>
      </c>
      <c r="G575" t="s">
        <v>68</v>
      </c>
      <c r="H575" s="1">
        <v>8353.39</v>
      </c>
      <c r="I575" t="s">
        <v>296</v>
      </c>
      <c r="J575">
        <v>191</v>
      </c>
      <c r="K575">
        <v>6443</v>
      </c>
      <c r="L575">
        <v>32875</v>
      </c>
      <c r="M575" t="s">
        <v>781</v>
      </c>
      <c r="N575" t="s">
        <v>782</v>
      </c>
      <c r="O575" t="s">
        <v>783</v>
      </c>
      <c r="P575">
        <v>6926</v>
      </c>
      <c r="Q575">
        <v>1205</v>
      </c>
      <c r="R575" t="s">
        <v>65</v>
      </c>
    </row>
    <row r="576" spans="1:18" x14ac:dyDescent="0.2">
      <c r="A576" t="s">
        <v>838</v>
      </c>
      <c r="B576" t="s">
        <v>780</v>
      </c>
      <c r="C576" t="s">
        <v>780</v>
      </c>
      <c r="D576" t="s">
        <v>52</v>
      </c>
      <c r="E576" t="str">
        <f>"C38R5g"</f>
        <v>C38R5g</v>
      </c>
      <c r="F576" t="s">
        <v>71</v>
      </c>
      <c r="G576" t="s">
        <v>72</v>
      </c>
      <c r="H576" s="1">
        <v>161682.48000000001</v>
      </c>
      <c r="I576" t="s">
        <v>298</v>
      </c>
      <c r="J576">
        <v>430</v>
      </c>
      <c r="K576">
        <v>9540</v>
      </c>
      <c r="L576">
        <v>33872</v>
      </c>
      <c r="M576" t="s">
        <v>781</v>
      </c>
      <c r="N576" t="s">
        <v>782</v>
      </c>
      <c r="O576" t="s">
        <v>783</v>
      </c>
      <c r="P576">
        <v>6926</v>
      </c>
      <c r="Q576">
        <v>1205</v>
      </c>
      <c r="R576" t="s">
        <v>65</v>
      </c>
    </row>
    <row r="577" spans="1:18" x14ac:dyDescent="0.2">
      <c r="A577" t="s">
        <v>839</v>
      </c>
      <c r="B577" t="s">
        <v>780</v>
      </c>
      <c r="C577" t="s">
        <v>780</v>
      </c>
      <c r="D577" t="s">
        <v>52</v>
      </c>
      <c r="E577" t="str">
        <f>"C38R6g"</f>
        <v>C38R6g</v>
      </c>
      <c r="F577" t="s">
        <v>71</v>
      </c>
      <c r="G577" t="s">
        <v>72</v>
      </c>
      <c r="H577" s="1">
        <v>175961.8</v>
      </c>
      <c r="I577" t="s">
        <v>298</v>
      </c>
      <c r="J577">
        <v>459</v>
      </c>
      <c r="K577">
        <v>7499</v>
      </c>
      <c r="L577">
        <v>30250</v>
      </c>
      <c r="M577" t="s">
        <v>781</v>
      </c>
      <c r="N577" t="s">
        <v>782</v>
      </c>
      <c r="O577" t="s">
        <v>783</v>
      </c>
      <c r="P577">
        <v>6926</v>
      </c>
      <c r="Q577">
        <v>1205</v>
      </c>
      <c r="R577" t="s">
        <v>65</v>
      </c>
    </row>
    <row r="578" spans="1:18" x14ac:dyDescent="0.2">
      <c r="A578" t="s">
        <v>840</v>
      </c>
      <c r="B578" t="s">
        <v>780</v>
      </c>
      <c r="C578" t="s">
        <v>780</v>
      </c>
      <c r="D578" t="s">
        <v>52</v>
      </c>
      <c r="E578" t="str">
        <f>"C38R7g"</f>
        <v>C38R7g</v>
      </c>
      <c r="F578" t="s">
        <v>71</v>
      </c>
      <c r="G578" t="s">
        <v>72</v>
      </c>
      <c r="H578" s="1">
        <v>244103.6</v>
      </c>
      <c r="I578" t="s">
        <v>298</v>
      </c>
      <c r="J578">
        <v>545</v>
      </c>
      <c r="K578">
        <v>8854</v>
      </c>
      <c r="L578">
        <v>30127</v>
      </c>
      <c r="M578" t="s">
        <v>781</v>
      </c>
      <c r="N578" t="s">
        <v>782</v>
      </c>
      <c r="O578" t="s">
        <v>783</v>
      </c>
      <c r="P578">
        <v>6926</v>
      </c>
      <c r="Q578">
        <v>1205</v>
      </c>
      <c r="R578" t="s">
        <v>65</v>
      </c>
    </row>
    <row r="579" spans="1:18" x14ac:dyDescent="0.2">
      <c r="A579" t="s">
        <v>841</v>
      </c>
      <c r="B579" t="s">
        <v>780</v>
      </c>
      <c r="C579" t="s">
        <v>780</v>
      </c>
      <c r="D579" t="s">
        <v>52</v>
      </c>
      <c r="E579" t="str">
        <f>"C38R8g"</f>
        <v>C38R8g</v>
      </c>
      <c r="F579" t="s">
        <v>71</v>
      </c>
      <c r="G579" t="s">
        <v>72</v>
      </c>
      <c r="H579" s="1">
        <v>166781.23000000001</v>
      </c>
      <c r="I579" t="s">
        <v>298</v>
      </c>
      <c r="J579">
        <v>506</v>
      </c>
      <c r="K579">
        <v>8948</v>
      </c>
      <c r="L579">
        <v>31178</v>
      </c>
      <c r="M579" t="s">
        <v>781</v>
      </c>
      <c r="N579" t="s">
        <v>782</v>
      </c>
      <c r="O579" t="s">
        <v>783</v>
      </c>
      <c r="P579">
        <v>6926</v>
      </c>
      <c r="Q579">
        <v>1205</v>
      </c>
      <c r="R579" t="s">
        <v>65</v>
      </c>
    </row>
    <row r="580" spans="1:18" x14ac:dyDescent="0.2">
      <c r="A580" t="s">
        <v>842</v>
      </c>
      <c r="B580" t="s">
        <v>780</v>
      </c>
      <c r="C580" t="s">
        <v>780</v>
      </c>
      <c r="D580" t="s">
        <v>52</v>
      </c>
      <c r="E580" t="str">
        <f>"C39R1is"</f>
        <v>C39R1is</v>
      </c>
      <c r="F580" t="s">
        <v>57</v>
      </c>
      <c r="G580" t="s">
        <v>58</v>
      </c>
      <c r="H580" s="1">
        <v>30987.7</v>
      </c>
      <c r="I580" t="s">
        <v>291</v>
      </c>
      <c r="J580">
        <v>202</v>
      </c>
      <c r="K580">
        <v>7242</v>
      </c>
      <c r="L580">
        <v>24892</v>
      </c>
      <c r="M580" t="s">
        <v>781</v>
      </c>
      <c r="N580" t="s">
        <v>782</v>
      </c>
      <c r="O580" t="s">
        <v>783</v>
      </c>
      <c r="P580">
        <v>6926</v>
      </c>
      <c r="Q580">
        <v>1205</v>
      </c>
      <c r="R580" t="s">
        <v>65</v>
      </c>
    </row>
    <row r="581" spans="1:18" x14ac:dyDescent="0.2">
      <c r="A581" t="s">
        <v>843</v>
      </c>
      <c r="B581" t="s">
        <v>780</v>
      </c>
      <c r="C581" t="s">
        <v>780</v>
      </c>
      <c r="D581" t="s">
        <v>52</v>
      </c>
      <c r="E581" t="str">
        <f>"C39R1is"</f>
        <v>C39R1is</v>
      </c>
      <c r="F581" t="s">
        <v>67</v>
      </c>
      <c r="G581" t="s">
        <v>68</v>
      </c>
      <c r="H581" s="1">
        <v>4129.18</v>
      </c>
      <c r="I581" t="s">
        <v>296</v>
      </c>
      <c r="J581">
        <v>132</v>
      </c>
      <c r="K581">
        <v>7242</v>
      </c>
      <c r="L581">
        <v>24892</v>
      </c>
      <c r="M581" t="s">
        <v>781</v>
      </c>
      <c r="N581" t="s">
        <v>782</v>
      </c>
      <c r="O581" t="s">
        <v>783</v>
      </c>
      <c r="P581">
        <v>6926</v>
      </c>
      <c r="Q581">
        <v>1205</v>
      </c>
      <c r="R581" t="s">
        <v>65</v>
      </c>
    </row>
    <row r="582" spans="1:18" x14ac:dyDescent="0.2">
      <c r="A582" t="s">
        <v>844</v>
      </c>
      <c r="B582" t="s">
        <v>780</v>
      </c>
      <c r="C582" t="s">
        <v>780</v>
      </c>
      <c r="D582" t="s">
        <v>52</v>
      </c>
      <c r="E582" t="str">
        <f>"C39R2is"</f>
        <v>C39R2is</v>
      </c>
      <c r="F582" t="s">
        <v>57</v>
      </c>
      <c r="G582" t="s">
        <v>58</v>
      </c>
      <c r="H582" s="1">
        <v>17884.189999999999</v>
      </c>
      <c r="I582" t="s">
        <v>291</v>
      </c>
      <c r="J582">
        <v>125</v>
      </c>
      <c r="K582">
        <v>8459</v>
      </c>
      <c r="L582">
        <v>25541</v>
      </c>
      <c r="M582" t="s">
        <v>781</v>
      </c>
      <c r="N582" t="s">
        <v>782</v>
      </c>
      <c r="O582" t="s">
        <v>783</v>
      </c>
      <c r="P582">
        <v>6926</v>
      </c>
      <c r="Q582">
        <v>1205</v>
      </c>
      <c r="R582" t="s">
        <v>65</v>
      </c>
    </row>
    <row r="583" spans="1:18" x14ac:dyDescent="0.2">
      <c r="A583" t="s">
        <v>845</v>
      </c>
      <c r="B583" t="s">
        <v>780</v>
      </c>
      <c r="C583" t="s">
        <v>780</v>
      </c>
      <c r="D583" t="s">
        <v>52</v>
      </c>
      <c r="E583" t="str">
        <f>"C39R2is"</f>
        <v>C39R2is</v>
      </c>
      <c r="F583" t="s">
        <v>67</v>
      </c>
      <c r="G583" t="s">
        <v>68</v>
      </c>
      <c r="H583" s="1">
        <v>2472.42</v>
      </c>
      <c r="I583" t="s">
        <v>296</v>
      </c>
      <c r="J583">
        <v>119</v>
      </c>
      <c r="K583">
        <v>8459</v>
      </c>
      <c r="L583">
        <v>25541</v>
      </c>
      <c r="M583" t="s">
        <v>781</v>
      </c>
      <c r="N583" t="s">
        <v>782</v>
      </c>
      <c r="O583" t="s">
        <v>783</v>
      </c>
      <c r="P583">
        <v>6926</v>
      </c>
      <c r="Q583">
        <v>1205</v>
      </c>
      <c r="R583" t="s">
        <v>65</v>
      </c>
    </row>
    <row r="584" spans="1:18" x14ac:dyDescent="0.2">
      <c r="A584" t="s">
        <v>846</v>
      </c>
      <c r="B584" t="s">
        <v>780</v>
      </c>
      <c r="C584" t="s">
        <v>780</v>
      </c>
      <c r="D584" t="s">
        <v>52</v>
      </c>
      <c r="E584" t="str">
        <f>"C39R3g"</f>
        <v>C39R3g</v>
      </c>
      <c r="F584" t="s">
        <v>71</v>
      </c>
      <c r="G584" t="s">
        <v>72</v>
      </c>
      <c r="H584" s="1">
        <v>108158.87</v>
      </c>
      <c r="I584" t="s">
        <v>298</v>
      </c>
      <c r="J584">
        <v>583</v>
      </c>
      <c r="K584">
        <v>6204</v>
      </c>
      <c r="L584">
        <v>24936</v>
      </c>
      <c r="M584" t="s">
        <v>781</v>
      </c>
      <c r="N584" t="s">
        <v>782</v>
      </c>
      <c r="O584" t="s">
        <v>783</v>
      </c>
      <c r="P584">
        <v>6926</v>
      </c>
      <c r="Q584">
        <v>1205</v>
      </c>
      <c r="R584" t="s">
        <v>65</v>
      </c>
    </row>
    <row r="585" spans="1:18" x14ac:dyDescent="0.2">
      <c r="A585" t="s">
        <v>847</v>
      </c>
      <c r="B585" t="s">
        <v>780</v>
      </c>
      <c r="C585" t="s">
        <v>780</v>
      </c>
      <c r="D585" t="s">
        <v>52</v>
      </c>
      <c r="E585" t="str">
        <f>"C39R4g"</f>
        <v>C39R4g</v>
      </c>
      <c r="F585" t="s">
        <v>71</v>
      </c>
      <c r="G585" t="s">
        <v>72</v>
      </c>
      <c r="H585" s="1">
        <v>129426.18</v>
      </c>
      <c r="I585" t="s">
        <v>298</v>
      </c>
      <c r="J585">
        <v>496</v>
      </c>
      <c r="K585">
        <v>7025</v>
      </c>
      <c r="L585">
        <v>26074</v>
      </c>
      <c r="M585" t="s">
        <v>781</v>
      </c>
      <c r="N585" t="s">
        <v>782</v>
      </c>
      <c r="O585" t="s">
        <v>783</v>
      </c>
      <c r="P585">
        <v>6926</v>
      </c>
      <c r="Q585">
        <v>1205</v>
      </c>
      <c r="R585" t="s">
        <v>65</v>
      </c>
    </row>
    <row r="586" spans="1:18" x14ac:dyDescent="0.2">
      <c r="A586" t="s">
        <v>848</v>
      </c>
      <c r="B586" t="s">
        <v>849</v>
      </c>
      <c r="C586" t="s">
        <v>849</v>
      </c>
      <c r="D586" t="s">
        <v>52</v>
      </c>
      <c r="E586" t="str">
        <f>"C01R1is"</f>
        <v>C01R1is</v>
      </c>
      <c r="F586" t="s">
        <v>57</v>
      </c>
      <c r="G586" t="s">
        <v>58</v>
      </c>
      <c r="H586" s="1">
        <v>17737.63</v>
      </c>
      <c r="I586" t="s">
        <v>291</v>
      </c>
      <c r="J586">
        <v>236</v>
      </c>
      <c r="K586">
        <v>65451</v>
      </c>
      <c r="L586">
        <v>36190</v>
      </c>
      <c r="M586" t="s">
        <v>850</v>
      </c>
      <c r="N586" t="s">
        <v>851</v>
      </c>
      <c r="O586" t="s">
        <v>450</v>
      </c>
      <c r="P586">
        <v>6907</v>
      </c>
      <c r="Q586">
        <v>4915</v>
      </c>
      <c r="R586" t="s">
        <v>65</v>
      </c>
    </row>
    <row r="587" spans="1:18" x14ac:dyDescent="0.2">
      <c r="A587" t="s">
        <v>852</v>
      </c>
      <c r="B587" t="s">
        <v>849</v>
      </c>
      <c r="C587" t="s">
        <v>849</v>
      </c>
      <c r="D587" t="s">
        <v>52</v>
      </c>
      <c r="E587" t="str">
        <f>"C01R1is"</f>
        <v>C01R1is</v>
      </c>
      <c r="F587" t="s">
        <v>67</v>
      </c>
      <c r="G587" t="s">
        <v>68</v>
      </c>
      <c r="H587" s="1">
        <v>29438.94</v>
      </c>
      <c r="I587" t="s">
        <v>296</v>
      </c>
      <c r="J587">
        <v>1811</v>
      </c>
      <c r="K587">
        <v>65451</v>
      </c>
      <c r="L587">
        <v>36190</v>
      </c>
      <c r="M587" t="s">
        <v>850</v>
      </c>
      <c r="N587" t="s">
        <v>851</v>
      </c>
      <c r="O587" t="s">
        <v>450</v>
      </c>
      <c r="P587">
        <v>6907</v>
      </c>
      <c r="Q587">
        <v>4915</v>
      </c>
      <c r="R587" t="s">
        <v>65</v>
      </c>
    </row>
    <row r="588" spans="1:18" x14ac:dyDescent="0.2">
      <c r="A588" t="s">
        <v>853</v>
      </c>
      <c r="B588" t="s">
        <v>849</v>
      </c>
      <c r="C588" t="s">
        <v>849</v>
      </c>
      <c r="D588" t="s">
        <v>52</v>
      </c>
      <c r="E588" t="str">
        <f>"C01R2is"</f>
        <v>C01R2is</v>
      </c>
      <c r="F588" t="s">
        <v>57</v>
      </c>
      <c r="G588" t="s">
        <v>58</v>
      </c>
      <c r="H588" s="1">
        <v>16931.73</v>
      </c>
      <c r="I588" t="s">
        <v>291</v>
      </c>
      <c r="J588">
        <v>208</v>
      </c>
      <c r="K588">
        <v>66146</v>
      </c>
      <c r="L588">
        <v>37228</v>
      </c>
      <c r="M588" t="s">
        <v>850</v>
      </c>
      <c r="N588" t="s">
        <v>851</v>
      </c>
      <c r="O588" t="s">
        <v>450</v>
      </c>
      <c r="P588">
        <v>6907</v>
      </c>
      <c r="Q588">
        <v>4915</v>
      </c>
      <c r="R588" t="s">
        <v>65</v>
      </c>
    </row>
    <row r="589" spans="1:18" x14ac:dyDescent="0.2">
      <c r="A589" t="s">
        <v>854</v>
      </c>
      <c r="B589" t="s">
        <v>849</v>
      </c>
      <c r="C589" t="s">
        <v>849</v>
      </c>
      <c r="D589" t="s">
        <v>52</v>
      </c>
      <c r="E589" t="str">
        <f>"C01R2is"</f>
        <v>C01R2is</v>
      </c>
      <c r="F589" t="s">
        <v>67</v>
      </c>
      <c r="G589" t="s">
        <v>68</v>
      </c>
      <c r="H589" s="1">
        <v>25760.15</v>
      </c>
      <c r="I589" t="s">
        <v>296</v>
      </c>
      <c r="J589">
        <v>1836</v>
      </c>
      <c r="K589">
        <v>66146</v>
      </c>
      <c r="L589">
        <v>37228</v>
      </c>
      <c r="M589" t="s">
        <v>850</v>
      </c>
      <c r="N589" t="s">
        <v>851</v>
      </c>
      <c r="O589" t="s">
        <v>450</v>
      </c>
      <c r="P589">
        <v>6907</v>
      </c>
      <c r="Q589">
        <v>4915</v>
      </c>
      <c r="R589" t="s">
        <v>65</v>
      </c>
    </row>
    <row r="590" spans="1:18" x14ac:dyDescent="0.2">
      <c r="A590" t="s">
        <v>855</v>
      </c>
      <c r="B590" t="s">
        <v>849</v>
      </c>
      <c r="C590" t="s">
        <v>849</v>
      </c>
      <c r="D590" t="s">
        <v>52</v>
      </c>
      <c r="E590" t="str">
        <f>"C01R3g"</f>
        <v>C01R3g</v>
      </c>
      <c r="F590" t="s">
        <v>71</v>
      </c>
      <c r="G590" t="s">
        <v>72</v>
      </c>
      <c r="H590" s="1">
        <v>129964.4</v>
      </c>
      <c r="I590" t="s">
        <v>298</v>
      </c>
      <c r="J590">
        <v>1780</v>
      </c>
      <c r="K590">
        <v>66668</v>
      </c>
      <c r="L590">
        <v>35001</v>
      </c>
      <c r="M590" t="s">
        <v>850</v>
      </c>
      <c r="N590" t="s">
        <v>851</v>
      </c>
      <c r="O590" t="s">
        <v>450</v>
      </c>
      <c r="P590">
        <v>6907</v>
      </c>
      <c r="Q590">
        <v>4915</v>
      </c>
      <c r="R590" t="s">
        <v>65</v>
      </c>
    </row>
    <row r="591" spans="1:18" x14ac:dyDescent="0.2">
      <c r="A591" t="s">
        <v>856</v>
      </c>
      <c r="B591" t="s">
        <v>849</v>
      </c>
      <c r="C591" t="s">
        <v>849</v>
      </c>
      <c r="D591" t="s">
        <v>52</v>
      </c>
      <c r="E591" t="str">
        <f>"C01R4g"</f>
        <v>C01R4g</v>
      </c>
      <c r="F591" t="s">
        <v>71</v>
      </c>
      <c r="G591" t="s">
        <v>72</v>
      </c>
      <c r="H591" s="1">
        <v>191511.65</v>
      </c>
      <c r="I591" t="s">
        <v>298</v>
      </c>
      <c r="J591">
        <v>2535</v>
      </c>
      <c r="K591">
        <v>67476</v>
      </c>
      <c r="L591">
        <v>37494</v>
      </c>
      <c r="M591" t="s">
        <v>850</v>
      </c>
      <c r="N591" t="s">
        <v>851</v>
      </c>
      <c r="O591" t="s">
        <v>450</v>
      </c>
      <c r="P591">
        <v>6907</v>
      </c>
      <c r="Q591">
        <v>4915</v>
      </c>
      <c r="R591" t="s">
        <v>65</v>
      </c>
    </row>
    <row r="592" spans="1:18" x14ac:dyDescent="0.2">
      <c r="A592" t="s">
        <v>857</v>
      </c>
      <c r="B592" t="s">
        <v>849</v>
      </c>
      <c r="C592" t="s">
        <v>849</v>
      </c>
      <c r="D592" t="s">
        <v>52</v>
      </c>
      <c r="E592" t="str">
        <f>"C04R1is"</f>
        <v>C04R1is</v>
      </c>
      <c r="F592" t="s">
        <v>57</v>
      </c>
      <c r="G592" t="s">
        <v>58</v>
      </c>
      <c r="H592" s="1">
        <v>22677.19</v>
      </c>
      <c r="I592" t="s">
        <v>291</v>
      </c>
      <c r="J592">
        <v>317</v>
      </c>
      <c r="K592">
        <v>70786</v>
      </c>
      <c r="L592">
        <v>13333</v>
      </c>
      <c r="M592" t="s">
        <v>850</v>
      </c>
      <c r="N592" t="s">
        <v>851</v>
      </c>
      <c r="O592" t="s">
        <v>450</v>
      </c>
      <c r="P592">
        <v>6907</v>
      </c>
      <c r="Q592">
        <v>4915</v>
      </c>
      <c r="R592" t="s">
        <v>65</v>
      </c>
    </row>
    <row r="593" spans="1:18" x14ac:dyDescent="0.2">
      <c r="A593" t="s">
        <v>858</v>
      </c>
      <c r="B593" t="s">
        <v>849</v>
      </c>
      <c r="C593" t="s">
        <v>849</v>
      </c>
      <c r="D593" t="s">
        <v>52</v>
      </c>
      <c r="E593" t="str">
        <f>"C04R1is"</f>
        <v>C04R1is</v>
      </c>
      <c r="F593" t="s">
        <v>67</v>
      </c>
      <c r="G593" t="s">
        <v>68</v>
      </c>
      <c r="H593" s="1">
        <v>14597.23</v>
      </c>
      <c r="I593" t="s">
        <v>296</v>
      </c>
      <c r="J593">
        <v>750</v>
      </c>
      <c r="K593">
        <v>70786</v>
      </c>
      <c r="L593">
        <v>13333</v>
      </c>
      <c r="M593" t="s">
        <v>850</v>
      </c>
      <c r="N593" t="s">
        <v>851</v>
      </c>
      <c r="O593" t="s">
        <v>450</v>
      </c>
      <c r="P593">
        <v>6907</v>
      </c>
      <c r="Q593">
        <v>4915</v>
      </c>
      <c r="R593" t="s">
        <v>65</v>
      </c>
    </row>
    <row r="594" spans="1:18" x14ac:dyDescent="0.2">
      <c r="A594" t="s">
        <v>859</v>
      </c>
      <c r="B594" t="s">
        <v>849</v>
      </c>
      <c r="C594" t="s">
        <v>849</v>
      </c>
      <c r="D594" t="s">
        <v>52</v>
      </c>
      <c r="E594" t="str">
        <f>"C04R2is"</f>
        <v>C04R2is</v>
      </c>
      <c r="F594" t="s">
        <v>57</v>
      </c>
      <c r="G594" t="s">
        <v>58</v>
      </c>
      <c r="H594" s="1">
        <v>35239.910000000003</v>
      </c>
      <c r="I594" t="s">
        <v>291</v>
      </c>
      <c r="J594">
        <v>507</v>
      </c>
      <c r="K594">
        <v>70164</v>
      </c>
      <c r="L594">
        <v>12391</v>
      </c>
      <c r="M594" t="s">
        <v>850</v>
      </c>
      <c r="N594" t="s">
        <v>851</v>
      </c>
      <c r="O594" t="s">
        <v>450</v>
      </c>
      <c r="P594">
        <v>6907</v>
      </c>
      <c r="Q594">
        <v>4915</v>
      </c>
      <c r="R594" t="s">
        <v>65</v>
      </c>
    </row>
    <row r="595" spans="1:18" x14ac:dyDescent="0.2">
      <c r="A595" t="s">
        <v>860</v>
      </c>
      <c r="B595" t="s">
        <v>849</v>
      </c>
      <c r="C595" t="s">
        <v>849</v>
      </c>
      <c r="D595" t="s">
        <v>52</v>
      </c>
      <c r="E595" t="str">
        <f>"C04R2is"</f>
        <v>C04R2is</v>
      </c>
      <c r="F595" t="s">
        <v>67</v>
      </c>
      <c r="G595" t="s">
        <v>68</v>
      </c>
      <c r="H595" s="1">
        <v>12676.64</v>
      </c>
      <c r="I595" t="s">
        <v>296</v>
      </c>
      <c r="J595">
        <v>730</v>
      </c>
      <c r="K595">
        <v>70164</v>
      </c>
      <c r="L595">
        <v>12391</v>
      </c>
      <c r="M595" t="s">
        <v>850</v>
      </c>
      <c r="N595" t="s">
        <v>851</v>
      </c>
      <c r="O595" t="s">
        <v>450</v>
      </c>
      <c r="P595">
        <v>6907</v>
      </c>
      <c r="Q595">
        <v>4915</v>
      </c>
      <c r="R595" t="s">
        <v>65</v>
      </c>
    </row>
    <row r="596" spans="1:18" x14ac:dyDescent="0.2">
      <c r="A596" t="s">
        <v>861</v>
      </c>
      <c r="B596" t="s">
        <v>849</v>
      </c>
      <c r="C596" t="s">
        <v>849</v>
      </c>
      <c r="D596" t="s">
        <v>52</v>
      </c>
      <c r="E596" t="str">
        <f>"C04R3ig"</f>
        <v>C04R3ig</v>
      </c>
      <c r="F596" t="s">
        <v>57</v>
      </c>
      <c r="G596" t="s">
        <v>58</v>
      </c>
      <c r="H596" s="1">
        <v>15210.34</v>
      </c>
      <c r="I596" t="s">
        <v>363</v>
      </c>
      <c r="J596">
        <v>237</v>
      </c>
      <c r="K596">
        <v>72335</v>
      </c>
      <c r="L596">
        <v>12244</v>
      </c>
      <c r="M596" t="s">
        <v>850</v>
      </c>
      <c r="N596" t="s">
        <v>851</v>
      </c>
      <c r="O596" t="s">
        <v>450</v>
      </c>
      <c r="P596">
        <v>6907</v>
      </c>
      <c r="Q596">
        <v>4915</v>
      </c>
      <c r="R596" t="s">
        <v>65</v>
      </c>
    </row>
    <row r="597" spans="1:18" x14ac:dyDescent="0.2">
      <c r="A597" t="s">
        <v>862</v>
      </c>
      <c r="B597" t="s">
        <v>849</v>
      </c>
      <c r="C597" t="s">
        <v>849</v>
      </c>
      <c r="D597" t="s">
        <v>52</v>
      </c>
      <c r="E597" t="str">
        <f>"C04R3ig"</f>
        <v>C04R3ig</v>
      </c>
      <c r="F597" t="s">
        <v>71</v>
      </c>
      <c r="G597" t="s">
        <v>72</v>
      </c>
      <c r="H597" s="1">
        <v>19513.75</v>
      </c>
      <c r="I597" t="s">
        <v>298</v>
      </c>
      <c r="J597">
        <v>48</v>
      </c>
      <c r="K597">
        <v>72335</v>
      </c>
      <c r="L597">
        <v>12244</v>
      </c>
      <c r="M597" t="s">
        <v>850</v>
      </c>
      <c r="N597" t="s">
        <v>851</v>
      </c>
      <c r="O597" t="s">
        <v>450</v>
      </c>
      <c r="P597">
        <v>6907</v>
      </c>
      <c r="Q597">
        <v>4915</v>
      </c>
      <c r="R597" t="s">
        <v>65</v>
      </c>
    </row>
    <row r="598" spans="1:18" x14ac:dyDescent="0.2">
      <c r="A598" t="s">
        <v>863</v>
      </c>
      <c r="B598" t="s">
        <v>849</v>
      </c>
      <c r="C598" t="s">
        <v>849</v>
      </c>
      <c r="D598" t="s">
        <v>52</v>
      </c>
      <c r="E598" t="str">
        <f>"C04R4ig"</f>
        <v>C04R4ig</v>
      </c>
      <c r="F598" t="s">
        <v>57</v>
      </c>
      <c r="G598" t="s">
        <v>58</v>
      </c>
      <c r="H598" s="1">
        <v>16215.43</v>
      </c>
      <c r="I598" t="s">
        <v>363</v>
      </c>
      <c r="J598">
        <v>209</v>
      </c>
      <c r="K598">
        <v>69984</v>
      </c>
      <c r="L598">
        <v>10890</v>
      </c>
      <c r="M598" t="s">
        <v>850</v>
      </c>
      <c r="N598" t="s">
        <v>851</v>
      </c>
      <c r="O598" t="s">
        <v>450</v>
      </c>
      <c r="P598">
        <v>6907</v>
      </c>
      <c r="Q598">
        <v>4915</v>
      </c>
      <c r="R598" t="s">
        <v>65</v>
      </c>
    </row>
    <row r="599" spans="1:18" x14ac:dyDescent="0.2">
      <c r="A599" t="s">
        <v>864</v>
      </c>
      <c r="B599" t="s">
        <v>849</v>
      </c>
      <c r="C599" t="s">
        <v>849</v>
      </c>
      <c r="D599" t="s">
        <v>52</v>
      </c>
      <c r="E599" t="str">
        <f>"C04R4ig"</f>
        <v>C04R4ig</v>
      </c>
      <c r="F599" t="s">
        <v>71</v>
      </c>
      <c r="G599" t="s">
        <v>72</v>
      </c>
      <c r="H599" s="1">
        <v>15750.32</v>
      </c>
      <c r="I599" t="s">
        <v>298</v>
      </c>
      <c r="J599">
        <v>57</v>
      </c>
      <c r="K599">
        <v>69984</v>
      </c>
      <c r="L599">
        <v>10890</v>
      </c>
      <c r="M599" t="s">
        <v>850</v>
      </c>
      <c r="N599" t="s">
        <v>851</v>
      </c>
      <c r="O599" t="s">
        <v>450</v>
      </c>
      <c r="P599">
        <v>6907</v>
      </c>
      <c r="Q599">
        <v>4915</v>
      </c>
      <c r="R599" t="s">
        <v>65</v>
      </c>
    </row>
    <row r="600" spans="1:18" x14ac:dyDescent="0.2">
      <c r="A600" t="s">
        <v>865</v>
      </c>
      <c r="B600" t="s">
        <v>849</v>
      </c>
      <c r="C600" t="s">
        <v>849</v>
      </c>
      <c r="D600" t="s">
        <v>52</v>
      </c>
      <c r="E600" t="str">
        <f>"C04R5g"</f>
        <v>C04R5g</v>
      </c>
      <c r="F600" t="s">
        <v>71</v>
      </c>
      <c r="G600" t="s">
        <v>72</v>
      </c>
      <c r="H600" s="1">
        <v>248389.73</v>
      </c>
      <c r="I600" t="s">
        <v>298</v>
      </c>
      <c r="J600">
        <v>1629</v>
      </c>
      <c r="K600">
        <v>71969</v>
      </c>
      <c r="L600">
        <v>13706</v>
      </c>
      <c r="M600" t="s">
        <v>850</v>
      </c>
      <c r="N600" t="s">
        <v>851</v>
      </c>
      <c r="O600" t="s">
        <v>450</v>
      </c>
      <c r="P600">
        <v>6907</v>
      </c>
      <c r="Q600">
        <v>4915</v>
      </c>
      <c r="R600" t="s">
        <v>65</v>
      </c>
    </row>
    <row r="601" spans="1:18" x14ac:dyDescent="0.2">
      <c r="A601" t="s">
        <v>866</v>
      </c>
      <c r="B601" t="s">
        <v>849</v>
      </c>
      <c r="C601" t="s">
        <v>849</v>
      </c>
      <c r="D601" t="s">
        <v>52</v>
      </c>
      <c r="E601" t="str">
        <f>"C05R1g"</f>
        <v>C05R1g</v>
      </c>
      <c r="F601" t="s">
        <v>71</v>
      </c>
      <c r="G601" t="s">
        <v>72</v>
      </c>
      <c r="H601" s="1">
        <v>200271.27</v>
      </c>
      <c r="I601" t="s">
        <v>298</v>
      </c>
      <c r="J601">
        <v>1264</v>
      </c>
      <c r="K601" t="s">
        <v>867</v>
      </c>
      <c r="L601" t="s">
        <v>868</v>
      </c>
      <c r="M601" t="s">
        <v>850</v>
      </c>
      <c r="N601" t="s">
        <v>851</v>
      </c>
      <c r="O601" t="s">
        <v>450</v>
      </c>
      <c r="P601">
        <v>6907</v>
      </c>
      <c r="Q601">
        <v>4915</v>
      </c>
      <c r="R601" t="s">
        <v>65</v>
      </c>
    </row>
    <row r="602" spans="1:18" x14ac:dyDescent="0.2">
      <c r="A602" t="s">
        <v>869</v>
      </c>
      <c r="B602" t="s">
        <v>849</v>
      </c>
      <c r="C602" t="s">
        <v>849</v>
      </c>
      <c r="D602" t="s">
        <v>52</v>
      </c>
      <c r="E602" t="str">
        <f>"C05R2is"</f>
        <v>C05R2is</v>
      </c>
      <c r="F602" t="s">
        <v>57</v>
      </c>
      <c r="G602" t="s">
        <v>58</v>
      </c>
      <c r="H602" s="1">
        <v>31780.32</v>
      </c>
      <c r="I602" t="s">
        <v>487</v>
      </c>
      <c r="J602">
        <v>263</v>
      </c>
      <c r="K602">
        <v>61338</v>
      </c>
      <c r="L602">
        <v>36316</v>
      </c>
      <c r="M602" t="s">
        <v>850</v>
      </c>
      <c r="N602" t="s">
        <v>851</v>
      </c>
      <c r="O602" t="s">
        <v>450</v>
      </c>
      <c r="P602">
        <v>6907</v>
      </c>
      <c r="Q602">
        <v>4915</v>
      </c>
      <c r="R602" t="s">
        <v>65</v>
      </c>
    </row>
    <row r="603" spans="1:18" x14ac:dyDescent="0.2">
      <c r="A603" t="s">
        <v>870</v>
      </c>
      <c r="B603" t="s">
        <v>849</v>
      </c>
      <c r="C603" t="s">
        <v>849</v>
      </c>
      <c r="D603" t="s">
        <v>52</v>
      </c>
      <c r="E603" t="str">
        <f>"C05R2is"</f>
        <v>C05R2is</v>
      </c>
      <c r="F603" t="s">
        <v>67</v>
      </c>
      <c r="G603" t="s">
        <v>68</v>
      </c>
      <c r="H603" s="1">
        <v>5670.58</v>
      </c>
      <c r="I603" t="s">
        <v>489</v>
      </c>
      <c r="J603">
        <v>263</v>
      </c>
      <c r="K603">
        <v>61338</v>
      </c>
      <c r="L603">
        <v>36316</v>
      </c>
      <c r="M603" t="s">
        <v>850</v>
      </c>
      <c r="N603" t="s">
        <v>851</v>
      </c>
      <c r="O603" t="s">
        <v>450</v>
      </c>
      <c r="P603">
        <v>6907</v>
      </c>
      <c r="Q603">
        <v>4915</v>
      </c>
      <c r="R603" t="s">
        <v>65</v>
      </c>
    </row>
    <row r="604" spans="1:18" x14ac:dyDescent="0.2">
      <c r="A604" t="s">
        <v>1102</v>
      </c>
      <c r="H604" s="3">
        <f>SUM(H509:H603)</f>
        <v>6491379.6600000011</v>
      </c>
    </row>
    <row r="605" spans="1:18" x14ac:dyDescent="0.2">
      <c r="A605" t="s">
        <v>871</v>
      </c>
      <c r="B605" t="s">
        <v>54</v>
      </c>
      <c r="H605" s="1"/>
    </row>
    <row r="606" spans="1:18" x14ac:dyDescent="0.2">
      <c r="A606" t="s">
        <v>872</v>
      </c>
      <c r="B606" t="s">
        <v>849</v>
      </c>
      <c r="C606" t="s">
        <v>849</v>
      </c>
      <c r="D606" t="s">
        <v>52</v>
      </c>
      <c r="E606" t="str">
        <f>"C05R3is"</f>
        <v>C05R3is</v>
      </c>
      <c r="F606" t="s">
        <v>57</v>
      </c>
      <c r="G606" t="s">
        <v>58</v>
      </c>
      <c r="H606" s="1">
        <v>6612.63</v>
      </c>
      <c r="I606" t="s">
        <v>487</v>
      </c>
      <c r="J606">
        <v>57</v>
      </c>
      <c r="K606">
        <v>61056</v>
      </c>
      <c r="L606">
        <v>35014</v>
      </c>
      <c r="M606" t="s">
        <v>850</v>
      </c>
      <c r="N606" t="s">
        <v>851</v>
      </c>
      <c r="O606" t="s">
        <v>450</v>
      </c>
      <c r="P606">
        <v>6907</v>
      </c>
      <c r="Q606">
        <v>4915</v>
      </c>
      <c r="R606" t="s">
        <v>65</v>
      </c>
    </row>
    <row r="607" spans="1:18" x14ac:dyDescent="0.2">
      <c r="A607" t="s">
        <v>873</v>
      </c>
      <c r="B607" t="s">
        <v>849</v>
      </c>
      <c r="C607" t="s">
        <v>849</v>
      </c>
      <c r="D607" t="s">
        <v>52</v>
      </c>
      <c r="E607" t="str">
        <f>"C05R3is"</f>
        <v>C05R3is</v>
      </c>
      <c r="F607" t="s">
        <v>67</v>
      </c>
      <c r="G607" t="s">
        <v>68</v>
      </c>
      <c r="H607" s="1">
        <v>6372</v>
      </c>
      <c r="I607" t="s">
        <v>489</v>
      </c>
      <c r="J607">
        <v>242</v>
      </c>
      <c r="K607">
        <v>61056</v>
      </c>
      <c r="L607">
        <v>35014</v>
      </c>
      <c r="M607" t="s">
        <v>850</v>
      </c>
      <c r="N607" t="s">
        <v>851</v>
      </c>
      <c r="O607" t="s">
        <v>450</v>
      </c>
      <c r="P607">
        <v>6907</v>
      </c>
      <c r="Q607">
        <v>4915</v>
      </c>
      <c r="R607" t="s">
        <v>65</v>
      </c>
    </row>
    <row r="608" spans="1:18" x14ac:dyDescent="0.2">
      <c r="A608" t="s">
        <v>874</v>
      </c>
      <c r="B608" t="s">
        <v>849</v>
      </c>
      <c r="C608" t="s">
        <v>849</v>
      </c>
      <c r="D608" t="s">
        <v>52</v>
      </c>
      <c r="E608" t="str">
        <f>"C06R1is"</f>
        <v>C06R1is</v>
      </c>
      <c r="F608" t="s">
        <v>57</v>
      </c>
      <c r="G608" t="s">
        <v>58</v>
      </c>
      <c r="H608" s="1">
        <v>7410.05</v>
      </c>
      <c r="I608" t="s">
        <v>291</v>
      </c>
      <c r="J608">
        <v>45</v>
      </c>
      <c r="K608">
        <v>60258</v>
      </c>
      <c r="L608">
        <v>31614</v>
      </c>
      <c r="M608" t="s">
        <v>850</v>
      </c>
      <c r="N608" t="s">
        <v>851</v>
      </c>
      <c r="O608" t="s">
        <v>450</v>
      </c>
      <c r="P608">
        <v>6907</v>
      </c>
      <c r="Q608">
        <v>4915</v>
      </c>
      <c r="R608" t="s">
        <v>65</v>
      </c>
    </row>
    <row r="609" spans="1:18" x14ac:dyDescent="0.2">
      <c r="A609" t="s">
        <v>875</v>
      </c>
      <c r="B609" t="s">
        <v>849</v>
      </c>
      <c r="C609" t="s">
        <v>849</v>
      </c>
      <c r="D609" t="s">
        <v>52</v>
      </c>
      <c r="E609" t="str">
        <f>"C06R1is"</f>
        <v>C06R1is</v>
      </c>
      <c r="F609" t="s">
        <v>67</v>
      </c>
      <c r="G609" t="s">
        <v>68</v>
      </c>
      <c r="H609" s="1">
        <v>6298.08</v>
      </c>
      <c r="I609" t="s">
        <v>296</v>
      </c>
      <c r="J609">
        <v>128</v>
      </c>
      <c r="K609">
        <v>60258</v>
      </c>
      <c r="L609">
        <v>31614</v>
      </c>
      <c r="M609" t="s">
        <v>850</v>
      </c>
      <c r="N609" t="s">
        <v>851</v>
      </c>
      <c r="O609" t="s">
        <v>450</v>
      </c>
      <c r="P609">
        <v>6907</v>
      </c>
      <c r="Q609">
        <v>4915</v>
      </c>
      <c r="R609" t="s">
        <v>65</v>
      </c>
    </row>
    <row r="610" spans="1:18" x14ac:dyDescent="0.2">
      <c r="A610" t="s">
        <v>876</v>
      </c>
      <c r="B610" t="s">
        <v>849</v>
      </c>
      <c r="C610" t="s">
        <v>849</v>
      </c>
      <c r="D610" t="s">
        <v>52</v>
      </c>
      <c r="E610" t="str">
        <f>"C06R2is"</f>
        <v>C06R2is</v>
      </c>
      <c r="F610" t="s">
        <v>57</v>
      </c>
      <c r="G610" t="s">
        <v>58</v>
      </c>
      <c r="H610" s="1">
        <v>6117.93</v>
      </c>
      <c r="I610" t="s">
        <v>291</v>
      </c>
      <c r="J610">
        <v>54</v>
      </c>
      <c r="K610">
        <v>59192</v>
      </c>
      <c r="L610">
        <v>32242</v>
      </c>
      <c r="M610" t="s">
        <v>850</v>
      </c>
      <c r="N610" t="s">
        <v>851</v>
      </c>
      <c r="O610" t="s">
        <v>450</v>
      </c>
      <c r="P610">
        <v>6907</v>
      </c>
      <c r="Q610">
        <v>4915</v>
      </c>
      <c r="R610" t="s">
        <v>65</v>
      </c>
    </row>
    <row r="611" spans="1:18" x14ac:dyDescent="0.2">
      <c r="A611" t="s">
        <v>877</v>
      </c>
      <c r="B611" t="s">
        <v>849</v>
      </c>
      <c r="C611" t="s">
        <v>849</v>
      </c>
      <c r="D611" t="s">
        <v>52</v>
      </c>
      <c r="E611" t="str">
        <f>"C06R2is"</f>
        <v>C06R2is</v>
      </c>
      <c r="F611" t="s">
        <v>67</v>
      </c>
      <c r="G611" t="s">
        <v>68</v>
      </c>
      <c r="H611" s="1">
        <v>11051.24</v>
      </c>
      <c r="I611" t="s">
        <v>296</v>
      </c>
      <c r="J611">
        <v>127</v>
      </c>
      <c r="K611">
        <v>59192</v>
      </c>
      <c r="L611">
        <v>32242</v>
      </c>
      <c r="M611" t="s">
        <v>850</v>
      </c>
      <c r="N611" t="s">
        <v>851</v>
      </c>
      <c r="O611" t="s">
        <v>450</v>
      </c>
      <c r="P611">
        <v>6907</v>
      </c>
      <c r="Q611">
        <v>4915</v>
      </c>
      <c r="R611" t="s">
        <v>65</v>
      </c>
    </row>
    <row r="612" spans="1:18" x14ac:dyDescent="0.2">
      <c r="A612" t="s">
        <v>878</v>
      </c>
      <c r="B612" t="s">
        <v>849</v>
      </c>
      <c r="C612" t="s">
        <v>849</v>
      </c>
      <c r="D612" t="s">
        <v>52</v>
      </c>
      <c r="E612" t="str">
        <f>"C06R3g"</f>
        <v>C06R3g</v>
      </c>
      <c r="F612" t="s">
        <v>71</v>
      </c>
      <c r="G612" t="s">
        <v>72</v>
      </c>
      <c r="H612" s="1">
        <v>27380.91</v>
      </c>
      <c r="I612" t="s">
        <v>298</v>
      </c>
      <c r="J612">
        <v>20</v>
      </c>
      <c r="K612">
        <v>61472</v>
      </c>
      <c r="L612">
        <v>31157</v>
      </c>
      <c r="M612" t="s">
        <v>850</v>
      </c>
      <c r="N612" t="s">
        <v>851</v>
      </c>
      <c r="O612" t="s">
        <v>450</v>
      </c>
      <c r="P612">
        <v>6907</v>
      </c>
      <c r="Q612">
        <v>4915</v>
      </c>
      <c r="R612" t="s">
        <v>65</v>
      </c>
    </row>
    <row r="613" spans="1:18" x14ac:dyDescent="0.2">
      <c r="A613" t="s">
        <v>879</v>
      </c>
      <c r="B613" t="s">
        <v>849</v>
      </c>
      <c r="C613" t="s">
        <v>849</v>
      </c>
      <c r="D613" t="s">
        <v>52</v>
      </c>
      <c r="E613" t="str">
        <f>"C06R4g"</f>
        <v>C06R4g</v>
      </c>
      <c r="F613" t="s">
        <v>71</v>
      </c>
      <c r="G613" t="s">
        <v>72</v>
      </c>
      <c r="H613" s="1">
        <v>46308.75</v>
      </c>
      <c r="I613" t="s">
        <v>298</v>
      </c>
      <c r="J613">
        <v>92</v>
      </c>
      <c r="K613">
        <v>59537</v>
      </c>
      <c r="L613">
        <v>30540</v>
      </c>
      <c r="M613" t="s">
        <v>850</v>
      </c>
      <c r="N613" t="s">
        <v>851</v>
      </c>
      <c r="O613" t="s">
        <v>450</v>
      </c>
      <c r="P613">
        <v>6907</v>
      </c>
      <c r="Q613">
        <v>4915</v>
      </c>
      <c r="R613" t="s">
        <v>65</v>
      </c>
    </row>
    <row r="614" spans="1:18" x14ac:dyDescent="0.2">
      <c r="A614" t="s">
        <v>880</v>
      </c>
      <c r="B614" t="s">
        <v>849</v>
      </c>
      <c r="C614" t="s">
        <v>849</v>
      </c>
      <c r="D614" t="s">
        <v>52</v>
      </c>
      <c r="E614" t="str">
        <f>"C06R5g"</f>
        <v>C06R5g</v>
      </c>
      <c r="F614" t="s">
        <v>71</v>
      </c>
      <c r="G614" t="s">
        <v>72</v>
      </c>
      <c r="H614" s="1">
        <v>196841.27</v>
      </c>
      <c r="I614" t="s">
        <v>298</v>
      </c>
      <c r="J614">
        <v>677</v>
      </c>
      <c r="K614">
        <v>58151</v>
      </c>
      <c r="L614">
        <v>29126</v>
      </c>
      <c r="M614" t="s">
        <v>850</v>
      </c>
      <c r="N614" t="s">
        <v>851</v>
      </c>
      <c r="O614" t="s">
        <v>450</v>
      </c>
      <c r="P614">
        <v>6907</v>
      </c>
      <c r="Q614">
        <v>4915</v>
      </c>
      <c r="R614" t="s">
        <v>65</v>
      </c>
    </row>
    <row r="615" spans="1:18" x14ac:dyDescent="0.2">
      <c r="A615" t="s">
        <v>881</v>
      </c>
      <c r="B615" t="s">
        <v>849</v>
      </c>
      <c r="C615" t="s">
        <v>849</v>
      </c>
      <c r="D615" t="s">
        <v>52</v>
      </c>
      <c r="E615" t="str">
        <f>"C07R1is"</f>
        <v>C07R1is</v>
      </c>
      <c r="F615" t="s">
        <v>57</v>
      </c>
      <c r="G615" t="s">
        <v>58</v>
      </c>
      <c r="H615" s="1">
        <v>14103.8</v>
      </c>
      <c r="I615" t="s">
        <v>291</v>
      </c>
      <c r="J615">
        <v>166</v>
      </c>
      <c r="K615" t="s">
        <v>882</v>
      </c>
      <c r="L615" t="s">
        <v>883</v>
      </c>
      <c r="M615" t="s">
        <v>850</v>
      </c>
      <c r="N615" t="s">
        <v>851</v>
      </c>
      <c r="O615" t="s">
        <v>450</v>
      </c>
      <c r="P615">
        <v>6907</v>
      </c>
      <c r="Q615">
        <v>4915</v>
      </c>
      <c r="R615" t="s">
        <v>65</v>
      </c>
    </row>
    <row r="616" spans="1:18" x14ac:dyDescent="0.2">
      <c r="A616" t="s">
        <v>884</v>
      </c>
      <c r="B616" t="s">
        <v>849</v>
      </c>
      <c r="C616" t="s">
        <v>849</v>
      </c>
      <c r="D616" t="s">
        <v>52</v>
      </c>
      <c r="E616" t="str">
        <f>"C07R1is"</f>
        <v>C07R1is</v>
      </c>
      <c r="F616" t="s">
        <v>67</v>
      </c>
      <c r="G616" t="s">
        <v>68</v>
      </c>
      <c r="H616" s="1">
        <v>14347.48</v>
      </c>
      <c r="I616" t="s">
        <v>296</v>
      </c>
      <c r="J616">
        <v>908</v>
      </c>
      <c r="K616" t="s">
        <v>882</v>
      </c>
      <c r="L616" t="s">
        <v>883</v>
      </c>
      <c r="M616" t="s">
        <v>850</v>
      </c>
      <c r="N616" t="s">
        <v>851</v>
      </c>
      <c r="O616" t="s">
        <v>450</v>
      </c>
      <c r="P616">
        <v>6907</v>
      </c>
      <c r="Q616">
        <v>4915</v>
      </c>
      <c r="R616" t="s">
        <v>65</v>
      </c>
    </row>
    <row r="617" spans="1:18" x14ac:dyDescent="0.2">
      <c r="A617" t="s">
        <v>885</v>
      </c>
      <c r="B617" t="s">
        <v>849</v>
      </c>
      <c r="C617" t="s">
        <v>849</v>
      </c>
      <c r="D617" t="s">
        <v>52</v>
      </c>
      <c r="E617" t="str">
        <f>"C07R2is"</f>
        <v>C07R2is</v>
      </c>
      <c r="F617" t="s">
        <v>57</v>
      </c>
      <c r="G617" t="s">
        <v>58</v>
      </c>
      <c r="H617" s="1">
        <v>11456.83</v>
      </c>
      <c r="I617" t="s">
        <v>291</v>
      </c>
      <c r="J617">
        <v>123</v>
      </c>
      <c r="K617" t="s">
        <v>886</v>
      </c>
      <c r="L617" t="s">
        <v>887</v>
      </c>
      <c r="M617" t="s">
        <v>850</v>
      </c>
      <c r="N617" t="s">
        <v>851</v>
      </c>
      <c r="O617" t="s">
        <v>450</v>
      </c>
      <c r="P617">
        <v>6907</v>
      </c>
      <c r="Q617">
        <v>4915</v>
      </c>
      <c r="R617" t="s">
        <v>65</v>
      </c>
    </row>
    <row r="618" spans="1:18" x14ac:dyDescent="0.2">
      <c r="A618" t="s">
        <v>888</v>
      </c>
      <c r="B618" t="s">
        <v>849</v>
      </c>
      <c r="C618" t="s">
        <v>849</v>
      </c>
      <c r="D618" t="s">
        <v>52</v>
      </c>
      <c r="E618" t="str">
        <f>"C07R2is"</f>
        <v>C07R2is</v>
      </c>
      <c r="F618" t="s">
        <v>67</v>
      </c>
      <c r="G618" t="s">
        <v>68</v>
      </c>
      <c r="H618" s="1">
        <v>11699.54</v>
      </c>
      <c r="I618" t="s">
        <v>296</v>
      </c>
      <c r="J618">
        <v>751</v>
      </c>
      <c r="K618" t="s">
        <v>886</v>
      </c>
      <c r="L618" t="s">
        <v>887</v>
      </c>
      <c r="M618" t="s">
        <v>850</v>
      </c>
      <c r="N618" t="s">
        <v>851</v>
      </c>
      <c r="O618" t="s">
        <v>450</v>
      </c>
      <c r="P618">
        <v>6907</v>
      </c>
      <c r="Q618">
        <v>4915</v>
      </c>
      <c r="R618" t="s">
        <v>65</v>
      </c>
    </row>
    <row r="619" spans="1:18" x14ac:dyDescent="0.2">
      <c r="A619" t="s">
        <v>889</v>
      </c>
      <c r="B619" t="s">
        <v>849</v>
      </c>
      <c r="C619" t="s">
        <v>849</v>
      </c>
      <c r="D619" t="s">
        <v>52</v>
      </c>
      <c r="E619" t="str">
        <f>"C07R3g"</f>
        <v>C07R3g</v>
      </c>
      <c r="F619" t="s">
        <v>71</v>
      </c>
      <c r="G619" t="s">
        <v>72</v>
      </c>
      <c r="H619" s="1">
        <v>231833.99</v>
      </c>
      <c r="I619" t="s">
        <v>298</v>
      </c>
      <c r="J619">
        <v>1690</v>
      </c>
      <c r="K619" t="s">
        <v>890</v>
      </c>
      <c r="L619" t="s">
        <v>891</v>
      </c>
      <c r="M619" t="s">
        <v>850</v>
      </c>
      <c r="N619" t="s">
        <v>851</v>
      </c>
      <c r="O619" t="s">
        <v>450</v>
      </c>
      <c r="P619">
        <v>6907</v>
      </c>
      <c r="Q619">
        <v>4915</v>
      </c>
      <c r="R619" t="s">
        <v>65</v>
      </c>
    </row>
    <row r="620" spans="1:18" x14ac:dyDescent="0.2">
      <c r="A620" t="s">
        <v>892</v>
      </c>
      <c r="B620" t="s">
        <v>849</v>
      </c>
      <c r="C620" t="s">
        <v>849</v>
      </c>
      <c r="D620" t="s">
        <v>52</v>
      </c>
      <c r="E620" t="str">
        <f>"C07R4g"</f>
        <v>C07R4g</v>
      </c>
      <c r="F620" t="s">
        <v>71</v>
      </c>
      <c r="G620" t="s">
        <v>72</v>
      </c>
      <c r="H620" s="1">
        <v>296359.24</v>
      </c>
      <c r="I620" t="s">
        <v>298</v>
      </c>
      <c r="J620">
        <v>2037</v>
      </c>
      <c r="K620" t="s">
        <v>893</v>
      </c>
      <c r="L620" t="s">
        <v>894</v>
      </c>
      <c r="M620" t="s">
        <v>850</v>
      </c>
      <c r="N620" t="s">
        <v>851</v>
      </c>
      <c r="O620" t="s">
        <v>450</v>
      </c>
      <c r="P620">
        <v>6907</v>
      </c>
      <c r="Q620">
        <v>4915</v>
      </c>
      <c r="R620" t="s">
        <v>65</v>
      </c>
    </row>
    <row r="621" spans="1:18" x14ac:dyDescent="0.2">
      <c r="A621" t="s">
        <v>895</v>
      </c>
      <c r="B621" t="s">
        <v>849</v>
      </c>
      <c r="C621" t="s">
        <v>849</v>
      </c>
      <c r="D621" t="s">
        <v>52</v>
      </c>
      <c r="E621" t="str">
        <f>"C08R1is"</f>
        <v>C08R1is</v>
      </c>
      <c r="F621" t="s">
        <v>57</v>
      </c>
      <c r="G621" t="s">
        <v>58</v>
      </c>
      <c r="H621" s="1">
        <v>10965.16</v>
      </c>
      <c r="I621" t="s">
        <v>291</v>
      </c>
      <c r="J621">
        <v>143</v>
      </c>
      <c r="K621" t="s">
        <v>896</v>
      </c>
      <c r="L621" t="s">
        <v>897</v>
      </c>
      <c r="M621" t="s">
        <v>850</v>
      </c>
      <c r="N621" t="s">
        <v>851</v>
      </c>
      <c r="O621" t="s">
        <v>450</v>
      </c>
      <c r="P621">
        <v>6907</v>
      </c>
      <c r="Q621">
        <v>4915</v>
      </c>
      <c r="R621" t="s">
        <v>65</v>
      </c>
    </row>
    <row r="622" spans="1:18" x14ac:dyDescent="0.2">
      <c r="A622" t="s">
        <v>898</v>
      </c>
      <c r="B622" t="s">
        <v>849</v>
      </c>
      <c r="C622" t="s">
        <v>849</v>
      </c>
      <c r="D622" t="s">
        <v>52</v>
      </c>
      <c r="E622" t="str">
        <f>"C08R1is"</f>
        <v>C08R1is</v>
      </c>
      <c r="F622" t="s">
        <v>67</v>
      </c>
      <c r="G622" t="s">
        <v>68</v>
      </c>
      <c r="H622" s="1">
        <v>19187.36</v>
      </c>
      <c r="I622" t="s">
        <v>296</v>
      </c>
      <c r="J622">
        <v>1318</v>
      </c>
      <c r="K622" t="s">
        <v>896</v>
      </c>
      <c r="L622" t="s">
        <v>897</v>
      </c>
      <c r="M622" t="s">
        <v>850</v>
      </c>
      <c r="N622" t="s">
        <v>851</v>
      </c>
      <c r="O622" t="s">
        <v>450</v>
      </c>
      <c r="P622">
        <v>6907</v>
      </c>
      <c r="Q622">
        <v>4915</v>
      </c>
      <c r="R622" t="s">
        <v>65</v>
      </c>
    </row>
    <row r="623" spans="1:18" x14ac:dyDescent="0.2">
      <c r="A623" t="s">
        <v>899</v>
      </c>
      <c r="B623" t="s">
        <v>849</v>
      </c>
      <c r="C623" t="s">
        <v>849</v>
      </c>
      <c r="D623" t="s">
        <v>52</v>
      </c>
      <c r="E623" t="str">
        <f>"C08R2is"</f>
        <v>C08R2is</v>
      </c>
      <c r="F623" t="s">
        <v>57</v>
      </c>
      <c r="G623" t="s">
        <v>58</v>
      </c>
      <c r="H623" s="1">
        <v>12472.17</v>
      </c>
      <c r="I623" t="s">
        <v>291</v>
      </c>
      <c r="J623">
        <v>179</v>
      </c>
      <c r="K623" t="s">
        <v>900</v>
      </c>
      <c r="L623" t="s">
        <v>901</v>
      </c>
      <c r="M623" t="s">
        <v>850</v>
      </c>
      <c r="N623" t="s">
        <v>851</v>
      </c>
      <c r="O623" t="s">
        <v>450</v>
      </c>
      <c r="P623">
        <v>6907</v>
      </c>
      <c r="Q623">
        <v>4915</v>
      </c>
      <c r="R623" t="s">
        <v>65</v>
      </c>
    </row>
    <row r="624" spans="1:18" x14ac:dyDescent="0.2">
      <c r="A624" t="s">
        <v>902</v>
      </c>
      <c r="B624" t="s">
        <v>849</v>
      </c>
      <c r="C624" t="s">
        <v>849</v>
      </c>
      <c r="D624" t="s">
        <v>52</v>
      </c>
      <c r="E624" t="str">
        <f>"C08R2is"</f>
        <v>C08R2is</v>
      </c>
      <c r="F624" t="s">
        <v>67</v>
      </c>
      <c r="G624" t="s">
        <v>68</v>
      </c>
      <c r="H624" s="1">
        <v>13856.13</v>
      </c>
      <c r="I624" t="s">
        <v>296</v>
      </c>
      <c r="J624">
        <v>970</v>
      </c>
      <c r="K624" t="s">
        <v>900</v>
      </c>
      <c r="L624" t="s">
        <v>901</v>
      </c>
      <c r="M624" t="s">
        <v>850</v>
      </c>
      <c r="N624" t="s">
        <v>851</v>
      </c>
      <c r="O624" t="s">
        <v>450</v>
      </c>
      <c r="P624">
        <v>6907</v>
      </c>
      <c r="Q624">
        <v>4915</v>
      </c>
      <c r="R624" t="s">
        <v>65</v>
      </c>
    </row>
    <row r="625" spans="1:18" x14ac:dyDescent="0.2">
      <c r="A625" t="s">
        <v>903</v>
      </c>
      <c r="B625" t="s">
        <v>849</v>
      </c>
      <c r="C625" t="s">
        <v>849</v>
      </c>
      <c r="D625" t="s">
        <v>52</v>
      </c>
      <c r="E625" t="str">
        <f>"C08R3g"</f>
        <v>C08R3g</v>
      </c>
      <c r="F625" t="s">
        <v>71</v>
      </c>
      <c r="G625" t="s">
        <v>72</v>
      </c>
      <c r="H625" s="1">
        <v>321602.45</v>
      </c>
      <c r="I625" t="s">
        <v>298</v>
      </c>
      <c r="J625">
        <v>2724</v>
      </c>
      <c r="K625" t="s">
        <v>904</v>
      </c>
      <c r="L625" t="s">
        <v>905</v>
      </c>
      <c r="M625" t="s">
        <v>850</v>
      </c>
      <c r="N625" t="s">
        <v>851</v>
      </c>
      <c r="O625" t="s">
        <v>450</v>
      </c>
      <c r="P625">
        <v>6907</v>
      </c>
      <c r="Q625">
        <v>4915</v>
      </c>
      <c r="R625" t="s">
        <v>65</v>
      </c>
    </row>
    <row r="626" spans="1:18" x14ac:dyDescent="0.2">
      <c r="A626" t="s">
        <v>906</v>
      </c>
      <c r="B626" t="s">
        <v>849</v>
      </c>
      <c r="C626" t="s">
        <v>849</v>
      </c>
      <c r="D626" t="s">
        <v>52</v>
      </c>
      <c r="E626" t="str">
        <f>"C08R4g"</f>
        <v>C08R4g</v>
      </c>
      <c r="F626" t="s">
        <v>71</v>
      </c>
      <c r="G626" t="s">
        <v>72</v>
      </c>
      <c r="H626" s="1">
        <v>323085.13</v>
      </c>
      <c r="I626" t="s">
        <v>298</v>
      </c>
      <c r="J626">
        <v>2699</v>
      </c>
      <c r="K626" t="s">
        <v>907</v>
      </c>
      <c r="L626" t="s">
        <v>908</v>
      </c>
      <c r="M626" t="s">
        <v>850</v>
      </c>
      <c r="N626" t="s">
        <v>851</v>
      </c>
      <c r="O626" t="s">
        <v>450</v>
      </c>
      <c r="P626">
        <v>6907</v>
      </c>
      <c r="Q626">
        <v>4915</v>
      </c>
      <c r="R626" t="s">
        <v>65</v>
      </c>
    </row>
    <row r="627" spans="1:18" x14ac:dyDescent="0.2">
      <c r="A627" t="s">
        <v>909</v>
      </c>
      <c r="B627" t="s">
        <v>849</v>
      </c>
      <c r="C627" t="s">
        <v>849</v>
      </c>
      <c r="D627" t="s">
        <v>52</v>
      </c>
      <c r="E627" t="str">
        <f>"C10R1is"</f>
        <v>C10R1is</v>
      </c>
      <c r="F627" t="s">
        <v>57</v>
      </c>
      <c r="G627" t="s">
        <v>58</v>
      </c>
      <c r="H627" s="1">
        <v>29112.87</v>
      </c>
      <c r="I627" t="s">
        <v>291</v>
      </c>
      <c r="J627">
        <v>395</v>
      </c>
      <c r="K627">
        <v>51563</v>
      </c>
      <c r="L627">
        <v>29657</v>
      </c>
      <c r="M627" t="s">
        <v>850</v>
      </c>
      <c r="N627" t="s">
        <v>851</v>
      </c>
      <c r="O627" t="s">
        <v>450</v>
      </c>
      <c r="P627">
        <v>6907</v>
      </c>
      <c r="Q627">
        <v>4915</v>
      </c>
      <c r="R627" t="s">
        <v>65</v>
      </c>
    </row>
    <row r="628" spans="1:18" x14ac:dyDescent="0.2">
      <c r="A628" t="s">
        <v>910</v>
      </c>
      <c r="B628" t="s">
        <v>849</v>
      </c>
      <c r="C628" t="s">
        <v>849</v>
      </c>
      <c r="D628" t="s">
        <v>52</v>
      </c>
      <c r="E628" t="str">
        <f>"C10R1is"</f>
        <v>C10R1is</v>
      </c>
      <c r="F628" t="s">
        <v>67</v>
      </c>
      <c r="G628" t="s">
        <v>68</v>
      </c>
      <c r="H628" s="1">
        <v>8922.49</v>
      </c>
      <c r="I628" t="s">
        <v>296</v>
      </c>
      <c r="J628">
        <v>694</v>
      </c>
      <c r="K628">
        <v>51563</v>
      </c>
      <c r="L628">
        <v>29657</v>
      </c>
      <c r="M628" t="s">
        <v>850</v>
      </c>
      <c r="N628" t="s">
        <v>851</v>
      </c>
      <c r="O628" t="s">
        <v>450</v>
      </c>
      <c r="P628">
        <v>6907</v>
      </c>
      <c r="Q628">
        <v>4915</v>
      </c>
      <c r="R628" t="s">
        <v>65</v>
      </c>
    </row>
    <row r="629" spans="1:18" x14ac:dyDescent="0.2">
      <c r="A629" t="s">
        <v>911</v>
      </c>
      <c r="B629" t="s">
        <v>849</v>
      </c>
      <c r="C629" t="s">
        <v>849</v>
      </c>
      <c r="D629" t="s">
        <v>52</v>
      </c>
      <c r="E629" t="str">
        <f>"C10R2is"</f>
        <v>C10R2is</v>
      </c>
      <c r="F629" t="s">
        <v>57</v>
      </c>
      <c r="G629" t="s">
        <v>58</v>
      </c>
      <c r="H629" s="1">
        <v>37433.300000000003</v>
      </c>
      <c r="I629" t="s">
        <v>291</v>
      </c>
      <c r="J629">
        <v>467</v>
      </c>
      <c r="K629">
        <v>52495</v>
      </c>
      <c r="L629">
        <v>28953</v>
      </c>
      <c r="M629" t="s">
        <v>850</v>
      </c>
      <c r="N629" t="s">
        <v>851</v>
      </c>
      <c r="O629" t="s">
        <v>450</v>
      </c>
      <c r="P629">
        <v>6907</v>
      </c>
      <c r="Q629">
        <v>4915</v>
      </c>
      <c r="R629" t="s">
        <v>65</v>
      </c>
    </row>
    <row r="630" spans="1:18" x14ac:dyDescent="0.2">
      <c r="A630" t="s">
        <v>912</v>
      </c>
      <c r="B630" t="s">
        <v>849</v>
      </c>
      <c r="C630" t="s">
        <v>849</v>
      </c>
      <c r="D630" t="s">
        <v>52</v>
      </c>
      <c r="E630" t="str">
        <f>"C10R2is"</f>
        <v>C10R2is</v>
      </c>
      <c r="F630" t="s">
        <v>67</v>
      </c>
      <c r="G630" t="s">
        <v>68</v>
      </c>
      <c r="H630" s="1">
        <v>10883.57</v>
      </c>
      <c r="I630" t="s">
        <v>296</v>
      </c>
      <c r="J630">
        <v>792</v>
      </c>
      <c r="K630">
        <v>52495</v>
      </c>
      <c r="L630">
        <v>28953</v>
      </c>
      <c r="M630" t="s">
        <v>850</v>
      </c>
      <c r="N630" t="s">
        <v>851</v>
      </c>
      <c r="O630" t="s">
        <v>450</v>
      </c>
      <c r="P630">
        <v>6907</v>
      </c>
      <c r="Q630">
        <v>4915</v>
      </c>
      <c r="R630" t="s">
        <v>65</v>
      </c>
    </row>
    <row r="631" spans="1:18" x14ac:dyDescent="0.2">
      <c r="A631" t="s">
        <v>913</v>
      </c>
      <c r="B631" t="s">
        <v>849</v>
      </c>
      <c r="C631" t="s">
        <v>849</v>
      </c>
      <c r="D631" t="s">
        <v>52</v>
      </c>
      <c r="E631" t="str">
        <f>"C10R3is"</f>
        <v>C10R3is</v>
      </c>
      <c r="F631" t="s">
        <v>57</v>
      </c>
      <c r="G631" t="s">
        <v>58</v>
      </c>
      <c r="H631" s="1">
        <v>26964.44</v>
      </c>
      <c r="I631" t="s">
        <v>291</v>
      </c>
      <c r="J631">
        <v>322</v>
      </c>
      <c r="K631">
        <v>54904</v>
      </c>
      <c r="L631">
        <v>29743</v>
      </c>
      <c r="M631" t="s">
        <v>850</v>
      </c>
      <c r="N631" t="s">
        <v>851</v>
      </c>
      <c r="O631" t="s">
        <v>450</v>
      </c>
      <c r="P631">
        <v>6907</v>
      </c>
      <c r="Q631">
        <v>4915</v>
      </c>
      <c r="R631" t="s">
        <v>65</v>
      </c>
    </row>
    <row r="632" spans="1:18" x14ac:dyDescent="0.2">
      <c r="A632" t="s">
        <v>914</v>
      </c>
      <c r="B632" t="s">
        <v>849</v>
      </c>
      <c r="C632" t="s">
        <v>849</v>
      </c>
      <c r="D632" t="s">
        <v>52</v>
      </c>
      <c r="E632" t="str">
        <f>"C10R3is"</f>
        <v>C10R3is</v>
      </c>
      <c r="F632" t="s">
        <v>67</v>
      </c>
      <c r="G632" t="s">
        <v>68</v>
      </c>
      <c r="H632" s="1">
        <v>11274.12</v>
      </c>
      <c r="I632" t="s">
        <v>296</v>
      </c>
      <c r="J632">
        <v>627</v>
      </c>
      <c r="K632">
        <v>54904</v>
      </c>
      <c r="L632">
        <v>29743</v>
      </c>
      <c r="M632" t="s">
        <v>850</v>
      </c>
      <c r="N632" t="s">
        <v>851</v>
      </c>
      <c r="O632" t="s">
        <v>450</v>
      </c>
      <c r="P632">
        <v>6907</v>
      </c>
      <c r="Q632">
        <v>4915</v>
      </c>
      <c r="R632" t="s">
        <v>65</v>
      </c>
    </row>
    <row r="633" spans="1:18" x14ac:dyDescent="0.2">
      <c r="A633" t="s">
        <v>915</v>
      </c>
      <c r="B633" t="s">
        <v>849</v>
      </c>
      <c r="C633" t="s">
        <v>849</v>
      </c>
      <c r="D633" t="s">
        <v>52</v>
      </c>
      <c r="E633" t="str">
        <f>"C10R4is"</f>
        <v>C10R4is</v>
      </c>
      <c r="F633" t="s">
        <v>57</v>
      </c>
      <c r="G633" t="s">
        <v>58</v>
      </c>
      <c r="H633" s="1">
        <v>21727.77</v>
      </c>
      <c r="I633" t="s">
        <v>291</v>
      </c>
      <c r="J633">
        <v>334</v>
      </c>
      <c r="K633">
        <v>54292</v>
      </c>
      <c r="L633">
        <v>28854</v>
      </c>
      <c r="M633" t="s">
        <v>850</v>
      </c>
      <c r="N633" t="s">
        <v>851</v>
      </c>
      <c r="O633" t="s">
        <v>450</v>
      </c>
      <c r="P633">
        <v>6907</v>
      </c>
      <c r="Q633">
        <v>4915</v>
      </c>
      <c r="R633" t="s">
        <v>65</v>
      </c>
    </row>
    <row r="634" spans="1:18" x14ac:dyDescent="0.2">
      <c r="A634" t="s">
        <v>916</v>
      </c>
      <c r="B634" t="s">
        <v>849</v>
      </c>
      <c r="C634" t="s">
        <v>849</v>
      </c>
      <c r="D634" t="s">
        <v>52</v>
      </c>
      <c r="E634" t="str">
        <f>"C10R4is"</f>
        <v>C10R4is</v>
      </c>
      <c r="F634" t="s">
        <v>67</v>
      </c>
      <c r="G634" t="s">
        <v>68</v>
      </c>
      <c r="H634" s="1">
        <v>7736.92</v>
      </c>
      <c r="I634" t="s">
        <v>296</v>
      </c>
      <c r="J634">
        <v>530</v>
      </c>
      <c r="K634">
        <v>54292</v>
      </c>
      <c r="L634">
        <v>28854</v>
      </c>
      <c r="M634" t="s">
        <v>850</v>
      </c>
      <c r="N634" t="s">
        <v>851</v>
      </c>
      <c r="O634" t="s">
        <v>450</v>
      </c>
      <c r="P634">
        <v>6907</v>
      </c>
      <c r="Q634">
        <v>4915</v>
      </c>
      <c r="R634" t="s">
        <v>65</v>
      </c>
    </row>
    <row r="635" spans="1:18" x14ac:dyDescent="0.2">
      <c r="A635" t="s">
        <v>917</v>
      </c>
      <c r="B635" t="s">
        <v>849</v>
      </c>
      <c r="C635" t="s">
        <v>849</v>
      </c>
      <c r="D635" t="s">
        <v>52</v>
      </c>
      <c r="E635" t="str">
        <f>"C10R5g"</f>
        <v>C10R5g</v>
      </c>
      <c r="F635" t="s">
        <v>71</v>
      </c>
      <c r="G635" t="s">
        <v>72</v>
      </c>
      <c r="H635" s="1">
        <v>92229.67</v>
      </c>
      <c r="I635" t="s">
        <v>298</v>
      </c>
      <c r="J635">
        <v>888</v>
      </c>
      <c r="K635">
        <v>53194</v>
      </c>
      <c r="L635">
        <v>28538</v>
      </c>
      <c r="M635" t="s">
        <v>850</v>
      </c>
      <c r="N635" t="s">
        <v>851</v>
      </c>
      <c r="O635" t="s">
        <v>450</v>
      </c>
      <c r="P635">
        <v>6907</v>
      </c>
      <c r="Q635">
        <v>4915</v>
      </c>
      <c r="R635" t="s">
        <v>65</v>
      </c>
    </row>
    <row r="636" spans="1:18" x14ac:dyDescent="0.2">
      <c r="A636" t="s">
        <v>918</v>
      </c>
      <c r="B636" t="s">
        <v>849</v>
      </c>
      <c r="C636" t="s">
        <v>849</v>
      </c>
      <c r="D636" t="s">
        <v>52</v>
      </c>
      <c r="E636" t="str">
        <f>"C10R6g"</f>
        <v>C10R6g</v>
      </c>
      <c r="F636" t="s">
        <v>71</v>
      </c>
      <c r="G636" t="s">
        <v>72</v>
      </c>
      <c r="H636" s="1">
        <v>126915.04</v>
      </c>
      <c r="I636" t="s">
        <v>298</v>
      </c>
      <c r="J636">
        <v>1563</v>
      </c>
      <c r="K636">
        <v>51756</v>
      </c>
      <c r="L636">
        <v>31239</v>
      </c>
      <c r="M636" t="s">
        <v>850</v>
      </c>
      <c r="N636" t="s">
        <v>851</v>
      </c>
      <c r="O636" t="s">
        <v>450</v>
      </c>
      <c r="P636">
        <v>6907</v>
      </c>
      <c r="Q636">
        <v>4915</v>
      </c>
      <c r="R636" t="s">
        <v>65</v>
      </c>
    </row>
    <row r="637" spans="1:18" x14ac:dyDescent="0.2">
      <c r="A637" t="s">
        <v>919</v>
      </c>
      <c r="B637" t="s">
        <v>849</v>
      </c>
      <c r="C637" t="s">
        <v>849</v>
      </c>
      <c r="D637" t="s">
        <v>52</v>
      </c>
      <c r="E637" t="str">
        <f>"C10R7g"</f>
        <v>C10R7g</v>
      </c>
      <c r="F637" t="s">
        <v>71</v>
      </c>
      <c r="G637" t="s">
        <v>72</v>
      </c>
      <c r="H637" s="1">
        <v>97734.01</v>
      </c>
      <c r="I637" t="s">
        <v>298</v>
      </c>
      <c r="J637">
        <v>1134</v>
      </c>
      <c r="K637">
        <v>52733</v>
      </c>
      <c r="L637">
        <v>30633</v>
      </c>
      <c r="M637" t="s">
        <v>850</v>
      </c>
      <c r="N637" t="s">
        <v>851</v>
      </c>
      <c r="O637" t="s">
        <v>450</v>
      </c>
      <c r="P637">
        <v>6907</v>
      </c>
      <c r="Q637">
        <v>4915</v>
      </c>
      <c r="R637" t="s">
        <v>65</v>
      </c>
    </row>
    <row r="638" spans="1:18" x14ac:dyDescent="0.2">
      <c r="A638" t="s">
        <v>920</v>
      </c>
      <c r="B638" t="s">
        <v>849</v>
      </c>
      <c r="C638" t="s">
        <v>849</v>
      </c>
      <c r="D638" t="s">
        <v>52</v>
      </c>
      <c r="E638" t="str">
        <f>"C10R8g"</f>
        <v>C10R8g</v>
      </c>
      <c r="F638" t="s">
        <v>71</v>
      </c>
      <c r="G638" t="s">
        <v>72</v>
      </c>
      <c r="H638" s="1">
        <v>66712.08</v>
      </c>
      <c r="I638" t="s">
        <v>298</v>
      </c>
      <c r="J638">
        <v>768</v>
      </c>
      <c r="K638">
        <v>53806</v>
      </c>
      <c r="L638">
        <v>29897</v>
      </c>
      <c r="M638" t="s">
        <v>850</v>
      </c>
      <c r="N638" t="s">
        <v>851</v>
      </c>
      <c r="O638" t="s">
        <v>450</v>
      </c>
      <c r="P638">
        <v>6907</v>
      </c>
      <c r="Q638">
        <v>4915</v>
      </c>
      <c r="R638" t="s">
        <v>65</v>
      </c>
    </row>
    <row r="639" spans="1:18" x14ac:dyDescent="0.2">
      <c r="A639" t="s">
        <v>921</v>
      </c>
      <c r="B639" t="s">
        <v>849</v>
      </c>
      <c r="C639" t="s">
        <v>849</v>
      </c>
      <c r="D639" t="s">
        <v>52</v>
      </c>
      <c r="E639" t="str">
        <f>"C11R1is"</f>
        <v>C11R1is</v>
      </c>
      <c r="F639" t="s">
        <v>57</v>
      </c>
      <c r="G639" t="s">
        <v>58</v>
      </c>
      <c r="H639" s="1">
        <v>41735.910000000003</v>
      </c>
      <c r="I639" t="s">
        <v>291</v>
      </c>
      <c r="J639">
        <v>420</v>
      </c>
      <c r="K639">
        <v>55086</v>
      </c>
      <c r="L639">
        <v>23504</v>
      </c>
      <c r="M639" t="s">
        <v>850</v>
      </c>
      <c r="N639" t="s">
        <v>851</v>
      </c>
      <c r="O639" t="s">
        <v>450</v>
      </c>
      <c r="P639">
        <v>6907</v>
      </c>
      <c r="Q639">
        <v>4915</v>
      </c>
      <c r="R639" t="s">
        <v>65</v>
      </c>
    </row>
    <row r="640" spans="1:18" x14ac:dyDescent="0.2">
      <c r="A640" t="s">
        <v>922</v>
      </c>
      <c r="B640" t="s">
        <v>849</v>
      </c>
      <c r="C640" t="s">
        <v>849</v>
      </c>
      <c r="D640" t="s">
        <v>52</v>
      </c>
      <c r="E640" t="str">
        <f>"C11R1is"</f>
        <v>C11R1is</v>
      </c>
      <c r="F640" t="s">
        <v>67</v>
      </c>
      <c r="G640" t="s">
        <v>68</v>
      </c>
      <c r="H640" s="1">
        <v>13127.51</v>
      </c>
      <c r="I640" t="s">
        <v>296</v>
      </c>
      <c r="J640">
        <v>264</v>
      </c>
      <c r="K640">
        <v>55086</v>
      </c>
      <c r="L640">
        <v>23504</v>
      </c>
      <c r="M640" t="s">
        <v>850</v>
      </c>
      <c r="N640" t="s">
        <v>851</v>
      </c>
      <c r="O640" t="s">
        <v>450</v>
      </c>
      <c r="P640">
        <v>6907</v>
      </c>
      <c r="Q640">
        <v>4915</v>
      </c>
      <c r="R640" t="s">
        <v>65</v>
      </c>
    </row>
    <row r="641" spans="1:18" x14ac:dyDescent="0.2">
      <c r="A641" t="s">
        <v>923</v>
      </c>
      <c r="B641" t="s">
        <v>849</v>
      </c>
      <c r="C641" t="s">
        <v>849</v>
      </c>
      <c r="D641" t="s">
        <v>52</v>
      </c>
      <c r="E641" t="str">
        <f>"C11R2is"</f>
        <v>C11R2is</v>
      </c>
      <c r="F641" t="s">
        <v>57</v>
      </c>
      <c r="G641" t="s">
        <v>58</v>
      </c>
      <c r="H641" s="1">
        <v>30117.32</v>
      </c>
      <c r="I641" t="s">
        <v>291</v>
      </c>
      <c r="J641">
        <v>386</v>
      </c>
      <c r="K641" t="s">
        <v>924</v>
      </c>
      <c r="L641" t="s">
        <v>925</v>
      </c>
      <c r="M641" t="s">
        <v>850</v>
      </c>
      <c r="N641" t="s">
        <v>851</v>
      </c>
      <c r="O641" t="s">
        <v>450</v>
      </c>
      <c r="P641">
        <v>6907</v>
      </c>
      <c r="Q641">
        <v>4915</v>
      </c>
      <c r="R641" t="s">
        <v>65</v>
      </c>
    </row>
    <row r="642" spans="1:18" x14ac:dyDescent="0.2">
      <c r="A642" t="s">
        <v>926</v>
      </c>
      <c r="B642" t="s">
        <v>849</v>
      </c>
      <c r="C642" t="s">
        <v>849</v>
      </c>
      <c r="D642" t="s">
        <v>52</v>
      </c>
      <c r="E642" t="str">
        <f>"C11R2is"</f>
        <v>C11R2is</v>
      </c>
      <c r="F642" t="s">
        <v>67</v>
      </c>
      <c r="G642" t="s">
        <v>68</v>
      </c>
      <c r="H642" s="1">
        <v>12862.4</v>
      </c>
      <c r="I642" t="s">
        <v>296</v>
      </c>
      <c r="J642">
        <v>325</v>
      </c>
      <c r="K642" t="s">
        <v>924</v>
      </c>
      <c r="L642" t="s">
        <v>925</v>
      </c>
      <c r="M642" t="s">
        <v>850</v>
      </c>
      <c r="N642" t="s">
        <v>851</v>
      </c>
      <c r="O642" t="s">
        <v>450</v>
      </c>
      <c r="P642">
        <v>6907</v>
      </c>
      <c r="Q642">
        <v>4915</v>
      </c>
      <c r="R642" t="s">
        <v>65</v>
      </c>
    </row>
    <row r="643" spans="1:18" x14ac:dyDescent="0.2">
      <c r="A643" t="s">
        <v>927</v>
      </c>
      <c r="B643" t="s">
        <v>849</v>
      </c>
      <c r="C643" t="s">
        <v>849</v>
      </c>
      <c r="D643" t="s">
        <v>52</v>
      </c>
      <c r="E643" t="str">
        <f>"C11R3g"</f>
        <v>C11R3g</v>
      </c>
      <c r="F643" t="s">
        <v>71</v>
      </c>
      <c r="G643" t="s">
        <v>72</v>
      </c>
      <c r="H643" s="1">
        <v>252353.79</v>
      </c>
      <c r="I643" t="s">
        <v>298</v>
      </c>
      <c r="J643">
        <v>1389</v>
      </c>
      <c r="K643" t="s">
        <v>928</v>
      </c>
      <c r="L643" t="s">
        <v>929</v>
      </c>
      <c r="M643" t="s">
        <v>850</v>
      </c>
      <c r="N643" t="s">
        <v>851</v>
      </c>
      <c r="O643" t="s">
        <v>450</v>
      </c>
      <c r="P643">
        <v>6907</v>
      </c>
      <c r="Q643">
        <v>4915</v>
      </c>
      <c r="R643" t="s">
        <v>65</v>
      </c>
    </row>
    <row r="644" spans="1:18" x14ac:dyDescent="0.2">
      <c r="A644" t="s">
        <v>930</v>
      </c>
      <c r="B644" t="s">
        <v>849</v>
      </c>
      <c r="C644" t="s">
        <v>849</v>
      </c>
      <c r="D644" t="s">
        <v>52</v>
      </c>
      <c r="E644" t="str">
        <f>"C11R4g"</f>
        <v>C11R4g</v>
      </c>
      <c r="F644" t="s">
        <v>71</v>
      </c>
      <c r="G644" t="s">
        <v>72</v>
      </c>
      <c r="H644" s="1">
        <v>235156.95</v>
      </c>
      <c r="I644" t="s">
        <v>298</v>
      </c>
      <c r="J644">
        <v>1140</v>
      </c>
      <c r="K644" t="s">
        <v>931</v>
      </c>
      <c r="L644" t="s">
        <v>932</v>
      </c>
      <c r="M644" t="s">
        <v>850</v>
      </c>
      <c r="N644" t="s">
        <v>851</v>
      </c>
      <c r="O644" t="s">
        <v>450</v>
      </c>
      <c r="P644">
        <v>6907</v>
      </c>
      <c r="Q644">
        <v>4915</v>
      </c>
      <c r="R644" t="s">
        <v>65</v>
      </c>
    </row>
    <row r="645" spans="1:18" x14ac:dyDescent="0.2">
      <c r="A645" t="s">
        <v>933</v>
      </c>
      <c r="B645" t="s">
        <v>849</v>
      </c>
      <c r="C645" t="s">
        <v>849</v>
      </c>
      <c r="D645" t="s">
        <v>52</v>
      </c>
      <c r="E645" t="str">
        <f>"C12R1is"</f>
        <v>C12R1is</v>
      </c>
      <c r="F645" t="s">
        <v>57</v>
      </c>
      <c r="G645" t="s">
        <v>58</v>
      </c>
      <c r="H645" s="1">
        <v>19638.86</v>
      </c>
      <c r="I645" t="s">
        <v>291</v>
      </c>
      <c r="J645">
        <v>214</v>
      </c>
      <c r="K645">
        <v>60618</v>
      </c>
      <c r="L645">
        <v>9492</v>
      </c>
      <c r="M645" t="s">
        <v>850</v>
      </c>
      <c r="N645" t="s">
        <v>851</v>
      </c>
      <c r="O645" t="s">
        <v>450</v>
      </c>
      <c r="P645">
        <v>6907</v>
      </c>
      <c r="Q645">
        <v>4915</v>
      </c>
      <c r="R645" t="s">
        <v>65</v>
      </c>
    </row>
    <row r="646" spans="1:18" x14ac:dyDescent="0.2">
      <c r="A646" t="s">
        <v>934</v>
      </c>
      <c r="B646" t="s">
        <v>849</v>
      </c>
      <c r="C646" t="s">
        <v>849</v>
      </c>
      <c r="D646" t="s">
        <v>52</v>
      </c>
      <c r="E646" t="str">
        <f>"C12R1is"</f>
        <v>C12R1is</v>
      </c>
      <c r="F646" t="s">
        <v>67</v>
      </c>
      <c r="G646" t="s">
        <v>68</v>
      </c>
      <c r="H646" s="1">
        <v>7307.82</v>
      </c>
      <c r="I646" t="s">
        <v>296</v>
      </c>
      <c r="J646">
        <v>178</v>
      </c>
      <c r="K646">
        <v>60618</v>
      </c>
      <c r="L646">
        <v>9492</v>
      </c>
      <c r="M646" t="s">
        <v>850</v>
      </c>
      <c r="N646" t="s">
        <v>851</v>
      </c>
      <c r="O646" t="s">
        <v>450</v>
      </c>
      <c r="P646">
        <v>6907</v>
      </c>
      <c r="Q646">
        <v>4915</v>
      </c>
      <c r="R646" t="s">
        <v>65</v>
      </c>
    </row>
    <row r="647" spans="1:18" x14ac:dyDescent="0.2">
      <c r="A647" t="s">
        <v>935</v>
      </c>
      <c r="B647" t="s">
        <v>849</v>
      </c>
      <c r="C647" t="s">
        <v>849</v>
      </c>
      <c r="D647" t="s">
        <v>52</v>
      </c>
      <c r="E647" t="str">
        <f>"C12R2is"</f>
        <v>C12R2is</v>
      </c>
      <c r="F647" t="s">
        <v>57</v>
      </c>
      <c r="G647" t="s">
        <v>58</v>
      </c>
      <c r="H647" s="1">
        <v>24805.45</v>
      </c>
      <c r="I647" t="s">
        <v>291</v>
      </c>
      <c r="J647">
        <v>244</v>
      </c>
      <c r="K647">
        <v>60640</v>
      </c>
      <c r="L647">
        <v>11070</v>
      </c>
      <c r="M647" t="s">
        <v>850</v>
      </c>
      <c r="N647" t="s">
        <v>851</v>
      </c>
      <c r="O647" t="s">
        <v>450</v>
      </c>
      <c r="P647">
        <v>6907</v>
      </c>
      <c r="Q647">
        <v>4915</v>
      </c>
      <c r="R647" t="s">
        <v>65</v>
      </c>
    </row>
    <row r="648" spans="1:18" x14ac:dyDescent="0.2">
      <c r="A648" t="s">
        <v>936</v>
      </c>
      <c r="B648" t="s">
        <v>849</v>
      </c>
      <c r="C648" t="s">
        <v>849</v>
      </c>
      <c r="D648" t="s">
        <v>52</v>
      </c>
      <c r="E648" t="str">
        <f>"C12R2is"</f>
        <v>C12R2is</v>
      </c>
      <c r="F648" t="s">
        <v>67</v>
      </c>
      <c r="G648" t="s">
        <v>68</v>
      </c>
      <c r="H648" s="1">
        <v>6653.11</v>
      </c>
      <c r="I648" t="s">
        <v>296</v>
      </c>
      <c r="J648">
        <v>152</v>
      </c>
      <c r="K648">
        <v>60640</v>
      </c>
      <c r="L648">
        <v>11070</v>
      </c>
      <c r="M648" t="s">
        <v>850</v>
      </c>
      <c r="N648" t="s">
        <v>851</v>
      </c>
      <c r="O648" t="s">
        <v>450</v>
      </c>
      <c r="P648">
        <v>6907</v>
      </c>
      <c r="Q648">
        <v>4915</v>
      </c>
      <c r="R648" t="s">
        <v>65</v>
      </c>
    </row>
    <row r="649" spans="1:18" x14ac:dyDescent="0.2">
      <c r="A649" t="s">
        <v>937</v>
      </c>
      <c r="B649" t="s">
        <v>849</v>
      </c>
      <c r="C649" t="s">
        <v>849</v>
      </c>
      <c r="D649" t="s">
        <v>52</v>
      </c>
      <c r="E649" t="str">
        <f>"C12R3g"</f>
        <v>C12R3g</v>
      </c>
      <c r="F649" t="s">
        <v>71</v>
      </c>
      <c r="G649" t="s">
        <v>72</v>
      </c>
      <c r="H649" s="1">
        <v>82987.350000000006</v>
      </c>
      <c r="I649" t="s">
        <v>298</v>
      </c>
      <c r="J649">
        <v>315</v>
      </c>
      <c r="K649">
        <v>61930</v>
      </c>
      <c r="L649">
        <v>9743</v>
      </c>
      <c r="M649" t="s">
        <v>850</v>
      </c>
      <c r="N649" t="s">
        <v>851</v>
      </c>
      <c r="O649" t="s">
        <v>450</v>
      </c>
      <c r="P649">
        <v>6907</v>
      </c>
      <c r="Q649">
        <v>4915</v>
      </c>
      <c r="R649" t="s">
        <v>65</v>
      </c>
    </row>
    <row r="650" spans="1:18" x14ac:dyDescent="0.2">
      <c r="A650" t="s">
        <v>938</v>
      </c>
      <c r="B650" t="s">
        <v>849</v>
      </c>
      <c r="C650" t="s">
        <v>849</v>
      </c>
      <c r="D650" t="s">
        <v>52</v>
      </c>
      <c r="E650" t="str">
        <f>"C12R4g"</f>
        <v>C12R4g</v>
      </c>
      <c r="F650" t="s">
        <v>71</v>
      </c>
      <c r="G650" t="s">
        <v>72</v>
      </c>
      <c r="H650" s="1">
        <v>67186.47</v>
      </c>
      <c r="I650" t="s">
        <v>298</v>
      </c>
      <c r="J650">
        <v>225</v>
      </c>
      <c r="K650">
        <v>61416</v>
      </c>
      <c r="L650">
        <v>8649</v>
      </c>
      <c r="M650" t="s">
        <v>850</v>
      </c>
      <c r="N650" t="s">
        <v>851</v>
      </c>
      <c r="O650" t="s">
        <v>450</v>
      </c>
      <c r="P650">
        <v>6907</v>
      </c>
      <c r="Q650">
        <v>4915</v>
      </c>
      <c r="R650" t="s">
        <v>65</v>
      </c>
    </row>
    <row r="651" spans="1:18" x14ac:dyDescent="0.2">
      <c r="A651" t="s">
        <v>939</v>
      </c>
      <c r="B651" t="s">
        <v>849</v>
      </c>
      <c r="C651" t="s">
        <v>849</v>
      </c>
      <c r="D651" t="s">
        <v>52</v>
      </c>
      <c r="E651" t="str">
        <f>"C13R1is"</f>
        <v>C13R1is</v>
      </c>
      <c r="F651" t="s">
        <v>57</v>
      </c>
      <c r="G651" t="s">
        <v>58</v>
      </c>
      <c r="H651" s="1">
        <v>24841.61</v>
      </c>
      <c r="I651" t="s">
        <v>291</v>
      </c>
      <c r="J651">
        <v>336</v>
      </c>
      <c r="K651" t="s">
        <v>940</v>
      </c>
      <c r="L651" t="s">
        <v>941</v>
      </c>
      <c r="M651" t="s">
        <v>850</v>
      </c>
      <c r="N651" t="s">
        <v>851</v>
      </c>
      <c r="O651" t="s">
        <v>450</v>
      </c>
      <c r="P651">
        <v>6907</v>
      </c>
      <c r="Q651">
        <v>4915</v>
      </c>
      <c r="R651" t="s">
        <v>65</v>
      </c>
    </row>
    <row r="652" spans="1:18" x14ac:dyDescent="0.2">
      <c r="A652" t="s">
        <v>942</v>
      </c>
      <c r="B652" t="s">
        <v>849</v>
      </c>
      <c r="C652" t="s">
        <v>849</v>
      </c>
      <c r="D652" t="s">
        <v>52</v>
      </c>
      <c r="E652" t="str">
        <f>"C13R1is"</f>
        <v>C13R1is</v>
      </c>
      <c r="F652" t="s">
        <v>67</v>
      </c>
      <c r="G652" t="s">
        <v>68</v>
      </c>
      <c r="H652" s="1">
        <v>5190.1099999999997</v>
      </c>
      <c r="I652" t="s">
        <v>296</v>
      </c>
      <c r="J652">
        <v>172</v>
      </c>
      <c r="K652" t="s">
        <v>940</v>
      </c>
      <c r="L652" t="s">
        <v>941</v>
      </c>
      <c r="M652" t="s">
        <v>850</v>
      </c>
      <c r="N652" t="s">
        <v>851</v>
      </c>
      <c r="O652" t="s">
        <v>450</v>
      </c>
      <c r="P652">
        <v>6907</v>
      </c>
      <c r="Q652">
        <v>4915</v>
      </c>
      <c r="R652" t="s">
        <v>65</v>
      </c>
    </row>
    <row r="653" spans="1:18" x14ac:dyDescent="0.2">
      <c r="A653" t="s">
        <v>943</v>
      </c>
      <c r="B653" t="s">
        <v>849</v>
      </c>
      <c r="C653" t="s">
        <v>849</v>
      </c>
      <c r="D653" t="s">
        <v>52</v>
      </c>
      <c r="E653" t="str">
        <f>"C13R2is"</f>
        <v>C13R2is</v>
      </c>
      <c r="F653" t="s">
        <v>57</v>
      </c>
      <c r="G653" t="s">
        <v>58</v>
      </c>
      <c r="H653" s="1">
        <v>29252.06</v>
      </c>
      <c r="I653" t="s">
        <v>291</v>
      </c>
      <c r="J653">
        <v>354</v>
      </c>
      <c r="K653" t="s">
        <v>944</v>
      </c>
      <c r="L653" t="s">
        <v>945</v>
      </c>
      <c r="M653" t="s">
        <v>850</v>
      </c>
      <c r="N653" t="s">
        <v>851</v>
      </c>
      <c r="O653" t="s">
        <v>450</v>
      </c>
      <c r="P653">
        <v>6907</v>
      </c>
      <c r="Q653">
        <v>4915</v>
      </c>
      <c r="R653" t="s">
        <v>65</v>
      </c>
    </row>
    <row r="654" spans="1:18" x14ac:dyDescent="0.2">
      <c r="A654" t="s">
        <v>946</v>
      </c>
      <c r="B654" t="s">
        <v>849</v>
      </c>
      <c r="C654" t="s">
        <v>849</v>
      </c>
      <c r="D654" t="s">
        <v>52</v>
      </c>
      <c r="E654" t="str">
        <f>"C13R2is"</f>
        <v>C13R2is</v>
      </c>
      <c r="F654" t="s">
        <v>67</v>
      </c>
      <c r="G654" t="s">
        <v>68</v>
      </c>
      <c r="H654" s="1">
        <v>5643.06</v>
      </c>
      <c r="I654" t="s">
        <v>296</v>
      </c>
      <c r="J654">
        <v>159</v>
      </c>
      <c r="K654" t="s">
        <v>944</v>
      </c>
      <c r="L654" t="s">
        <v>945</v>
      </c>
      <c r="M654" t="s">
        <v>850</v>
      </c>
      <c r="N654" t="s">
        <v>851</v>
      </c>
      <c r="O654" t="s">
        <v>450</v>
      </c>
      <c r="P654">
        <v>6907</v>
      </c>
      <c r="Q654">
        <v>4915</v>
      </c>
      <c r="R654" t="s">
        <v>65</v>
      </c>
    </row>
    <row r="655" spans="1:18" x14ac:dyDescent="0.2">
      <c r="A655" t="s">
        <v>947</v>
      </c>
      <c r="B655" t="s">
        <v>849</v>
      </c>
      <c r="C655" t="s">
        <v>849</v>
      </c>
      <c r="D655" t="s">
        <v>52</v>
      </c>
      <c r="E655" t="str">
        <f>"C13R3g"</f>
        <v>C13R3g</v>
      </c>
      <c r="F655" t="s">
        <v>71</v>
      </c>
      <c r="G655" t="s">
        <v>72</v>
      </c>
      <c r="H655" s="1">
        <v>186228.1</v>
      </c>
      <c r="I655" t="s">
        <v>298</v>
      </c>
      <c r="J655">
        <v>1722</v>
      </c>
      <c r="K655">
        <v>46359</v>
      </c>
      <c r="L655">
        <v>37875</v>
      </c>
      <c r="M655" t="s">
        <v>850</v>
      </c>
      <c r="N655" t="s">
        <v>851</v>
      </c>
      <c r="O655" t="s">
        <v>450</v>
      </c>
      <c r="P655">
        <v>6907</v>
      </c>
      <c r="Q655">
        <v>4915</v>
      </c>
      <c r="R655" t="s">
        <v>65</v>
      </c>
    </row>
    <row r="656" spans="1:18" x14ac:dyDescent="0.2">
      <c r="A656" t="s">
        <v>948</v>
      </c>
      <c r="B656" t="s">
        <v>849</v>
      </c>
      <c r="C656" t="s">
        <v>849</v>
      </c>
      <c r="D656" t="s">
        <v>52</v>
      </c>
      <c r="E656" t="str">
        <f>"C13R4g"</f>
        <v>C13R4g</v>
      </c>
      <c r="F656" t="s">
        <v>71</v>
      </c>
      <c r="G656" t="s">
        <v>72</v>
      </c>
      <c r="H656" s="1">
        <v>260808.94</v>
      </c>
      <c r="I656" t="s">
        <v>298</v>
      </c>
      <c r="J656">
        <v>2491</v>
      </c>
      <c r="K656" t="s">
        <v>949</v>
      </c>
      <c r="L656" t="s">
        <v>950</v>
      </c>
      <c r="M656" t="s">
        <v>850</v>
      </c>
      <c r="N656" t="s">
        <v>851</v>
      </c>
      <c r="O656" t="s">
        <v>450</v>
      </c>
      <c r="P656">
        <v>6907</v>
      </c>
      <c r="Q656">
        <v>4915</v>
      </c>
      <c r="R656" t="s">
        <v>65</v>
      </c>
    </row>
    <row r="657" spans="1:18" x14ac:dyDescent="0.2">
      <c r="A657" t="s">
        <v>951</v>
      </c>
      <c r="B657" t="s">
        <v>849</v>
      </c>
      <c r="C657" t="s">
        <v>849</v>
      </c>
      <c r="D657" t="s">
        <v>52</v>
      </c>
      <c r="E657" t="str">
        <f>"C14R1is"</f>
        <v>C14R1is</v>
      </c>
      <c r="F657" t="s">
        <v>57</v>
      </c>
      <c r="G657" t="s">
        <v>58</v>
      </c>
      <c r="H657" s="1">
        <v>12668.96</v>
      </c>
      <c r="I657" t="s">
        <v>291</v>
      </c>
      <c r="J657">
        <v>197</v>
      </c>
      <c r="K657">
        <v>49391</v>
      </c>
      <c r="L657">
        <v>28557</v>
      </c>
      <c r="M657" t="s">
        <v>850</v>
      </c>
      <c r="N657" t="s">
        <v>851</v>
      </c>
      <c r="O657" t="s">
        <v>450</v>
      </c>
      <c r="P657">
        <v>6907</v>
      </c>
      <c r="Q657">
        <v>4915</v>
      </c>
      <c r="R657" t="s">
        <v>65</v>
      </c>
    </row>
    <row r="658" spans="1:18" x14ac:dyDescent="0.2">
      <c r="A658" t="s">
        <v>952</v>
      </c>
      <c r="B658" t="s">
        <v>849</v>
      </c>
      <c r="C658" t="s">
        <v>849</v>
      </c>
      <c r="D658" t="s">
        <v>52</v>
      </c>
      <c r="E658" t="str">
        <f>"C14R1is"</f>
        <v>C14R1is</v>
      </c>
      <c r="F658" t="s">
        <v>67</v>
      </c>
      <c r="G658" t="s">
        <v>68</v>
      </c>
      <c r="H658" s="1">
        <v>3651.91</v>
      </c>
      <c r="I658" t="s">
        <v>296</v>
      </c>
      <c r="J658">
        <v>140</v>
      </c>
      <c r="K658">
        <v>49391</v>
      </c>
      <c r="L658">
        <v>28557</v>
      </c>
      <c r="M658" t="s">
        <v>850</v>
      </c>
      <c r="N658" t="s">
        <v>851</v>
      </c>
      <c r="O658" t="s">
        <v>450</v>
      </c>
      <c r="P658">
        <v>6907</v>
      </c>
      <c r="Q658">
        <v>4915</v>
      </c>
      <c r="R658" t="s">
        <v>65</v>
      </c>
    </row>
    <row r="659" spans="1:18" x14ac:dyDescent="0.2">
      <c r="A659" t="s">
        <v>953</v>
      </c>
      <c r="B659" t="s">
        <v>849</v>
      </c>
      <c r="C659" t="s">
        <v>849</v>
      </c>
      <c r="D659" t="s">
        <v>52</v>
      </c>
      <c r="E659" t="str">
        <f>"C14R2is"</f>
        <v>C14R2is</v>
      </c>
      <c r="F659" t="s">
        <v>57</v>
      </c>
      <c r="G659" t="s">
        <v>58</v>
      </c>
      <c r="H659" s="1">
        <v>15585.05</v>
      </c>
      <c r="I659" t="s">
        <v>291</v>
      </c>
      <c r="J659">
        <v>249</v>
      </c>
      <c r="K659" t="s">
        <v>954</v>
      </c>
      <c r="L659" t="s">
        <v>955</v>
      </c>
      <c r="M659" t="s">
        <v>850</v>
      </c>
      <c r="N659" t="s">
        <v>851</v>
      </c>
      <c r="O659" t="s">
        <v>450</v>
      </c>
      <c r="P659">
        <v>6907</v>
      </c>
      <c r="Q659">
        <v>4915</v>
      </c>
      <c r="R659" t="s">
        <v>65</v>
      </c>
    </row>
    <row r="660" spans="1:18" x14ac:dyDescent="0.2">
      <c r="A660" t="s">
        <v>956</v>
      </c>
      <c r="B660" t="s">
        <v>849</v>
      </c>
      <c r="C660" t="s">
        <v>849</v>
      </c>
      <c r="D660" t="s">
        <v>52</v>
      </c>
      <c r="E660" t="str">
        <f>"C14R2is"</f>
        <v>C14R2is</v>
      </c>
      <c r="F660" t="s">
        <v>67</v>
      </c>
      <c r="G660" t="s">
        <v>68</v>
      </c>
      <c r="H660" s="1">
        <v>4809.32</v>
      </c>
      <c r="I660" t="s">
        <v>296</v>
      </c>
      <c r="J660">
        <v>161</v>
      </c>
      <c r="K660" t="s">
        <v>954</v>
      </c>
      <c r="L660" t="s">
        <v>955</v>
      </c>
      <c r="M660" t="s">
        <v>850</v>
      </c>
      <c r="N660" t="s">
        <v>851</v>
      </c>
      <c r="O660" t="s">
        <v>450</v>
      </c>
      <c r="P660">
        <v>6907</v>
      </c>
      <c r="Q660">
        <v>4915</v>
      </c>
      <c r="R660" t="s">
        <v>65</v>
      </c>
    </row>
    <row r="661" spans="1:18" x14ac:dyDescent="0.2">
      <c r="A661" t="s">
        <v>957</v>
      </c>
      <c r="B661" t="s">
        <v>849</v>
      </c>
      <c r="C661" t="s">
        <v>849</v>
      </c>
      <c r="D661" t="s">
        <v>52</v>
      </c>
      <c r="E661" t="str">
        <f>"C14R3g"</f>
        <v>C14R3g</v>
      </c>
      <c r="F661" t="s">
        <v>71</v>
      </c>
      <c r="G661" t="s">
        <v>72</v>
      </c>
      <c r="H661" s="1">
        <v>246009.47</v>
      </c>
      <c r="I661" t="s">
        <v>298</v>
      </c>
      <c r="J661">
        <v>1893</v>
      </c>
      <c r="K661" t="s">
        <v>958</v>
      </c>
      <c r="L661" t="s">
        <v>959</v>
      </c>
      <c r="M661" t="s">
        <v>850</v>
      </c>
      <c r="N661" t="s">
        <v>851</v>
      </c>
      <c r="O661" t="s">
        <v>450</v>
      </c>
      <c r="P661">
        <v>6907</v>
      </c>
      <c r="Q661">
        <v>4915</v>
      </c>
      <c r="R661" t="s">
        <v>65</v>
      </c>
    </row>
    <row r="662" spans="1:18" x14ac:dyDescent="0.2">
      <c r="A662" t="s">
        <v>960</v>
      </c>
      <c r="B662" t="s">
        <v>849</v>
      </c>
      <c r="C662" t="s">
        <v>849</v>
      </c>
      <c r="D662" t="s">
        <v>52</v>
      </c>
      <c r="E662" t="str">
        <f>"C14R4g"</f>
        <v>C14R4g</v>
      </c>
      <c r="F662" t="s">
        <v>71</v>
      </c>
      <c r="G662" t="s">
        <v>72</v>
      </c>
      <c r="H662" s="1">
        <v>205630.01</v>
      </c>
      <c r="I662" t="s">
        <v>298</v>
      </c>
      <c r="J662">
        <v>1671</v>
      </c>
      <c r="K662" t="s">
        <v>961</v>
      </c>
      <c r="L662" t="s">
        <v>962</v>
      </c>
      <c r="M662" t="s">
        <v>850</v>
      </c>
      <c r="N662" t="s">
        <v>851</v>
      </c>
      <c r="O662" t="s">
        <v>450</v>
      </c>
      <c r="P662">
        <v>6907</v>
      </c>
      <c r="Q662">
        <v>4915</v>
      </c>
      <c r="R662" t="s">
        <v>65</v>
      </c>
    </row>
    <row r="663" spans="1:18" x14ac:dyDescent="0.2">
      <c r="A663" t="s">
        <v>963</v>
      </c>
      <c r="B663" t="s">
        <v>849</v>
      </c>
      <c r="C663" t="s">
        <v>849</v>
      </c>
      <c r="D663" t="s">
        <v>52</v>
      </c>
      <c r="E663" t="str">
        <f>"C19R1is"</f>
        <v>C19R1is</v>
      </c>
      <c r="F663" t="s">
        <v>57</v>
      </c>
      <c r="G663" t="s">
        <v>58</v>
      </c>
      <c r="H663" s="1">
        <v>8828.26</v>
      </c>
      <c r="I663" t="s">
        <v>291</v>
      </c>
      <c r="J663">
        <v>115</v>
      </c>
      <c r="K663">
        <v>39920</v>
      </c>
      <c r="L663">
        <v>24077</v>
      </c>
      <c r="M663" t="s">
        <v>850</v>
      </c>
      <c r="N663" t="s">
        <v>851</v>
      </c>
      <c r="O663" t="s">
        <v>450</v>
      </c>
      <c r="P663">
        <v>6907</v>
      </c>
      <c r="Q663">
        <v>4915</v>
      </c>
      <c r="R663" t="s">
        <v>65</v>
      </c>
    </row>
    <row r="664" spans="1:18" x14ac:dyDescent="0.2">
      <c r="A664" t="s">
        <v>964</v>
      </c>
      <c r="B664" t="s">
        <v>849</v>
      </c>
      <c r="C664" t="s">
        <v>849</v>
      </c>
      <c r="D664" t="s">
        <v>52</v>
      </c>
      <c r="E664" t="str">
        <f>"C19R1is"</f>
        <v>C19R1is</v>
      </c>
      <c r="F664" t="s">
        <v>67</v>
      </c>
      <c r="G664" t="s">
        <v>68</v>
      </c>
      <c r="H664" s="1">
        <v>9427.76</v>
      </c>
      <c r="I664" t="s">
        <v>296</v>
      </c>
      <c r="J664">
        <v>576</v>
      </c>
      <c r="K664">
        <v>39920</v>
      </c>
      <c r="L664">
        <v>24077</v>
      </c>
      <c r="M664" t="s">
        <v>850</v>
      </c>
      <c r="N664" t="s">
        <v>851</v>
      </c>
      <c r="O664" t="s">
        <v>450</v>
      </c>
      <c r="P664">
        <v>6907</v>
      </c>
      <c r="Q664">
        <v>4915</v>
      </c>
      <c r="R664" t="s">
        <v>65</v>
      </c>
    </row>
    <row r="665" spans="1:18" x14ac:dyDescent="0.2">
      <c r="A665" t="s">
        <v>965</v>
      </c>
      <c r="B665" t="s">
        <v>849</v>
      </c>
      <c r="C665" t="s">
        <v>849</v>
      </c>
      <c r="D665" t="s">
        <v>52</v>
      </c>
      <c r="E665" t="str">
        <f>"C19R2g"</f>
        <v>C19R2g</v>
      </c>
      <c r="F665" t="s">
        <v>71</v>
      </c>
      <c r="G665" t="s">
        <v>72</v>
      </c>
      <c r="H665" s="1">
        <v>231137.37</v>
      </c>
      <c r="I665" t="s">
        <v>298</v>
      </c>
      <c r="J665">
        <v>708</v>
      </c>
      <c r="K665">
        <v>41848</v>
      </c>
      <c r="L665">
        <v>23716</v>
      </c>
      <c r="M665" t="s">
        <v>850</v>
      </c>
      <c r="N665" t="s">
        <v>851</v>
      </c>
      <c r="O665" t="s">
        <v>450</v>
      </c>
      <c r="P665">
        <v>6907</v>
      </c>
      <c r="Q665">
        <v>4915</v>
      </c>
      <c r="R665" t="s">
        <v>65</v>
      </c>
    </row>
    <row r="666" spans="1:18" x14ac:dyDescent="0.2">
      <c r="A666" t="s">
        <v>966</v>
      </c>
      <c r="B666" t="s">
        <v>849</v>
      </c>
      <c r="C666" t="s">
        <v>849</v>
      </c>
      <c r="D666" t="s">
        <v>52</v>
      </c>
      <c r="E666" t="str">
        <f>"C20R1is"</f>
        <v>C20R1is</v>
      </c>
      <c r="F666" t="s">
        <v>57</v>
      </c>
      <c r="G666" t="s">
        <v>58</v>
      </c>
      <c r="H666" s="1">
        <v>26798.36</v>
      </c>
      <c r="I666" t="s">
        <v>291</v>
      </c>
      <c r="J666">
        <v>204</v>
      </c>
      <c r="K666">
        <v>38855</v>
      </c>
      <c r="L666">
        <v>17170</v>
      </c>
      <c r="M666" t="s">
        <v>850</v>
      </c>
      <c r="N666" t="s">
        <v>851</v>
      </c>
      <c r="O666" t="s">
        <v>450</v>
      </c>
      <c r="P666">
        <v>6907</v>
      </c>
      <c r="Q666">
        <v>4915</v>
      </c>
      <c r="R666" t="s">
        <v>65</v>
      </c>
    </row>
    <row r="667" spans="1:18" x14ac:dyDescent="0.2">
      <c r="A667" t="s">
        <v>967</v>
      </c>
      <c r="B667" t="s">
        <v>849</v>
      </c>
      <c r="C667" t="s">
        <v>849</v>
      </c>
      <c r="D667" t="s">
        <v>52</v>
      </c>
      <c r="E667" t="str">
        <f>"C20R1is"</f>
        <v>C20R1is</v>
      </c>
      <c r="F667" t="s">
        <v>67</v>
      </c>
      <c r="G667" t="s">
        <v>68</v>
      </c>
      <c r="H667" s="1">
        <v>11237.48</v>
      </c>
      <c r="I667" t="s">
        <v>296</v>
      </c>
      <c r="J667">
        <v>597</v>
      </c>
      <c r="K667">
        <v>38855</v>
      </c>
      <c r="L667">
        <v>17170</v>
      </c>
      <c r="M667" t="s">
        <v>850</v>
      </c>
      <c r="N667" t="s">
        <v>851</v>
      </c>
      <c r="O667" t="s">
        <v>450</v>
      </c>
      <c r="P667">
        <v>6907</v>
      </c>
      <c r="Q667">
        <v>4915</v>
      </c>
      <c r="R667" t="s">
        <v>65</v>
      </c>
    </row>
    <row r="668" spans="1:18" x14ac:dyDescent="0.2">
      <c r="A668" t="s">
        <v>968</v>
      </c>
      <c r="B668" t="s">
        <v>849</v>
      </c>
      <c r="C668" t="s">
        <v>849</v>
      </c>
      <c r="D668" t="s">
        <v>52</v>
      </c>
      <c r="E668" t="str">
        <f>"C20R2g"</f>
        <v>C20R2g</v>
      </c>
      <c r="F668" t="s">
        <v>71</v>
      </c>
      <c r="G668" t="s">
        <v>72</v>
      </c>
      <c r="H668" s="1">
        <v>208408.02</v>
      </c>
      <c r="I668" t="s">
        <v>298</v>
      </c>
      <c r="J668">
        <v>1116</v>
      </c>
      <c r="K668">
        <v>40408</v>
      </c>
      <c r="L668">
        <v>19055</v>
      </c>
      <c r="M668" t="s">
        <v>850</v>
      </c>
      <c r="N668" t="s">
        <v>851</v>
      </c>
      <c r="O668" t="s">
        <v>450</v>
      </c>
      <c r="P668">
        <v>6907</v>
      </c>
      <c r="Q668">
        <v>4915</v>
      </c>
      <c r="R668" t="s">
        <v>65</v>
      </c>
    </row>
    <row r="669" spans="1:18" x14ac:dyDescent="0.2">
      <c r="A669" t="s">
        <v>969</v>
      </c>
      <c r="B669" t="s">
        <v>849</v>
      </c>
      <c r="C669" t="s">
        <v>849</v>
      </c>
      <c r="D669" t="s">
        <v>52</v>
      </c>
      <c r="E669" t="str">
        <f>"C21R1is"</f>
        <v>C21R1is</v>
      </c>
      <c r="F669" t="s">
        <v>57</v>
      </c>
      <c r="G669" t="s">
        <v>58</v>
      </c>
      <c r="H669" s="1">
        <v>22930.46</v>
      </c>
      <c r="I669" t="s">
        <v>291</v>
      </c>
      <c r="J669">
        <v>281</v>
      </c>
      <c r="K669" t="s">
        <v>970</v>
      </c>
      <c r="L669" t="s">
        <v>971</v>
      </c>
      <c r="M669" t="s">
        <v>850</v>
      </c>
      <c r="N669" t="s">
        <v>851</v>
      </c>
      <c r="O669" t="s">
        <v>450</v>
      </c>
      <c r="P669">
        <v>6907</v>
      </c>
      <c r="Q669">
        <v>4915</v>
      </c>
      <c r="R669" t="s">
        <v>65</v>
      </c>
    </row>
    <row r="670" spans="1:18" x14ac:dyDescent="0.2">
      <c r="A670" t="s">
        <v>972</v>
      </c>
      <c r="B670" t="s">
        <v>849</v>
      </c>
      <c r="C670" t="s">
        <v>849</v>
      </c>
      <c r="D670" t="s">
        <v>52</v>
      </c>
      <c r="E670" t="str">
        <f>"C21R1is"</f>
        <v>C21R1is</v>
      </c>
      <c r="F670" t="s">
        <v>67</v>
      </c>
      <c r="G670" t="s">
        <v>68</v>
      </c>
      <c r="H670" s="1">
        <v>13219.99</v>
      </c>
      <c r="I670" t="s">
        <v>296</v>
      </c>
      <c r="J670">
        <v>1022</v>
      </c>
      <c r="K670" t="s">
        <v>970</v>
      </c>
      <c r="L670" t="s">
        <v>971</v>
      </c>
      <c r="M670" t="s">
        <v>850</v>
      </c>
      <c r="N670" t="s">
        <v>851</v>
      </c>
      <c r="O670" t="s">
        <v>450</v>
      </c>
      <c r="P670">
        <v>6907</v>
      </c>
      <c r="Q670">
        <v>4915</v>
      </c>
      <c r="R670" t="s">
        <v>65</v>
      </c>
    </row>
    <row r="671" spans="1:18" x14ac:dyDescent="0.2">
      <c r="A671" t="s">
        <v>973</v>
      </c>
      <c r="B671" t="s">
        <v>849</v>
      </c>
      <c r="C671" t="s">
        <v>849</v>
      </c>
      <c r="D671" t="s">
        <v>52</v>
      </c>
      <c r="E671" t="str">
        <f>"C21R2is"</f>
        <v>C21R2is</v>
      </c>
      <c r="F671" t="s">
        <v>57</v>
      </c>
      <c r="G671" t="s">
        <v>58</v>
      </c>
      <c r="H671" s="1">
        <v>23050.62</v>
      </c>
      <c r="I671" t="s">
        <v>291</v>
      </c>
      <c r="J671">
        <v>343</v>
      </c>
      <c r="K671" t="s">
        <v>974</v>
      </c>
      <c r="L671" t="s">
        <v>975</v>
      </c>
      <c r="M671" t="s">
        <v>850</v>
      </c>
      <c r="N671" t="s">
        <v>851</v>
      </c>
      <c r="O671" t="s">
        <v>450</v>
      </c>
      <c r="P671">
        <v>6907</v>
      </c>
      <c r="Q671">
        <v>4915</v>
      </c>
      <c r="R671" t="s">
        <v>65</v>
      </c>
    </row>
    <row r="672" spans="1:18" x14ac:dyDescent="0.2">
      <c r="A672" t="s">
        <v>976</v>
      </c>
      <c r="B672" t="s">
        <v>849</v>
      </c>
      <c r="C672" t="s">
        <v>849</v>
      </c>
      <c r="D672" t="s">
        <v>52</v>
      </c>
      <c r="E672" t="str">
        <f>"C21R2is"</f>
        <v>C21R2is</v>
      </c>
      <c r="F672" t="s">
        <v>67</v>
      </c>
      <c r="G672" t="s">
        <v>68</v>
      </c>
      <c r="H672" s="1">
        <v>11898.42</v>
      </c>
      <c r="I672" t="s">
        <v>296</v>
      </c>
      <c r="J672">
        <v>899</v>
      </c>
      <c r="K672" t="s">
        <v>974</v>
      </c>
      <c r="L672" t="s">
        <v>975</v>
      </c>
      <c r="M672" t="s">
        <v>850</v>
      </c>
      <c r="N672" t="s">
        <v>851</v>
      </c>
      <c r="O672" t="s">
        <v>450</v>
      </c>
      <c r="P672">
        <v>6907</v>
      </c>
      <c r="Q672">
        <v>4915</v>
      </c>
      <c r="R672" t="s">
        <v>65</v>
      </c>
    </row>
    <row r="673" spans="1:18" x14ac:dyDescent="0.2">
      <c r="A673" t="s">
        <v>977</v>
      </c>
      <c r="B673" t="s">
        <v>849</v>
      </c>
      <c r="C673" t="s">
        <v>849</v>
      </c>
      <c r="D673" t="s">
        <v>52</v>
      </c>
      <c r="E673" t="str">
        <f>"C21R3g"</f>
        <v>C21R3g</v>
      </c>
      <c r="F673" t="s">
        <v>71</v>
      </c>
      <c r="G673" t="s">
        <v>72</v>
      </c>
      <c r="H673" s="1">
        <v>224139.95</v>
      </c>
      <c r="I673" t="s">
        <v>298</v>
      </c>
      <c r="J673">
        <v>1649</v>
      </c>
      <c r="K673" t="s">
        <v>978</v>
      </c>
      <c r="L673" t="s">
        <v>979</v>
      </c>
      <c r="M673" t="s">
        <v>850</v>
      </c>
      <c r="N673" t="s">
        <v>851</v>
      </c>
      <c r="O673" t="s">
        <v>450</v>
      </c>
      <c r="P673">
        <v>6907</v>
      </c>
      <c r="Q673">
        <v>4915</v>
      </c>
      <c r="R673" t="s">
        <v>65</v>
      </c>
    </row>
    <row r="674" spans="1:18" x14ac:dyDescent="0.2">
      <c r="A674" t="s">
        <v>980</v>
      </c>
      <c r="B674" t="s">
        <v>849</v>
      </c>
      <c r="C674" t="s">
        <v>849</v>
      </c>
      <c r="D674" t="s">
        <v>52</v>
      </c>
      <c r="E674" t="str">
        <f>"C21R4g"</f>
        <v>C21R4g</v>
      </c>
      <c r="F674" t="s">
        <v>71</v>
      </c>
      <c r="G674" t="s">
        <v>72</v>
      </c>
      <c r="H674" s="1">
        <v>240462.09</v>
      </c>
      <c r="I674" t="s">
        <v>298</v>
      </c>
      <c r="J674">
        <v>2141</v>
      </c>
      <c r="K674" t="s">
        <v>981</v>
      </c>
      <c r="L674" t="s">
        <v>982</v>
      </c>
      <c r="M674" t="s">
        <v>850</v>
      </c>
      <c r="N674" t="s">
        <v>851</v>
      </c>
      <c r="O674" t="s">
        <v>450</v>
      </c>
      <c r="P674">
        <v>6907</v>
      </c>
      <c r="Q674">
        <v>4915</v>
      </c>
      <c r="R674" t="s">
        <v>65</v>
      </c>
    </row>
    <row r="675" spans="1:18" x14ac:dyDescent="0.2">
      <c r="A675" t="s">
        <v>983</v>
      </c>
      <c r="B675" t="s">
        <v>849</v>
      </c>
      <c r="C675" t="s">
        <v>849</v>
      </c>
      <c r="D675" t="s">
        <v>52</v>
      </c>
      <c r="E675" t="str">
        <f>"C22R1is"</f>
        <v>C22R1is</v>
      </c>
      <c r="F675" t="s">
        <v>57</v>
      </c>
      <c r="G675" t="s">
        <v>58</v>
      </c>
      <c r="H675" s="1">
        <v>14578.51</v>
      </c>
      <c r="I675" t="s">
        <v>291</v>
      </c>
      <c r="J675">
        <v>170</v>
      </c>
      <c r="K675" t="s">
        <v>984</v>
      </c>
      <c r="L675" t="s">
        <v>985</v>
      </c>
      <c r="M675" t="s">
        <v>850</v>
      </c>
      <c r="N675" t="s">
        <v>851</v>
      </c>
      <c r="O675" t="s">
        <v>450</v>
      </c>
      <c r="P675">
        <v>6907</v>
      </c>
      <c r="Q675">
        <v>4915</v>
      </c>
      <c r="R675" t="s">
        <v>65</v>
      </c>
    </row>
    <row r="676" spans="1:18" x14ac:dyDescent="0.2">
      <c r="A676" t="s">
        <v>986</v>
      </c>
      <c r="B676" t="s">
        <v>849</v>
      </c>
      <c r="C676" t="s">
        <v>849</v>
      </c>
      <c r="D676" t="s">
        <v>52</v>
      </c>
      <c r="E676" t="str">
        <f>"C22R1is"</f>
        <v>C22R1is</v>
      </c>
      <c r="F676" t="s">
        <v>67</v>
      </c>
      <c r="G676" t="s">
        <v>68</v>
      </c>
      <c r="H676" s="1">
        <v>16506.14</v>
      </c>
      <c r="I676" t="s">
        <v>296</v>
      </c>
      <c r="J676">
        <v>1074</v>
      </c>
      <c r="K676" t="s">
        <v>984</v>
      </c>
      <c r="L676" t="s">
        <v>985</v>
      </c>
      <c r="M676" t="s">
        <v>850</v>
      </c>
      <c r="N676" t="s">
        <v>851</v>
      </c>
      <c r="O676" t="s">
        <v>450</v>
      </c>
      <c r="P676">
        <v>6907</v>
      </c>
      <c r="Q676">
        <v>4915</v>
      </c>
      <c r="R676" t="s">
        <v>65</v>
      </c>
    </row>
    <row r="677" spans="1:18" x14ac:dyDescent="0.2">
      <c r="A677" t="s">
        <v>987</v>
      </c>
      <c r="B677" t="s">
        <v>849</v>
      </c>
      <c r="C677" t="s">
        <v>849</v>
      </c>
      <c r="D677" t="s">
        <v>52</v>
      </c>
      <c r="E677" t="str">
        <f>"C22R2is"</f>
        <v>C22R2is</v>
      </c>
      <c r="F677" t="s">
        <v>57</v>
      </c>
      <c r="G677" t="s">
        <v>58</v>
      </c>
      <c r="H677" s="1">
        <v>15609.05</v>
      </c>
      <c r="I677" t="s">
        <v>291</v>
      </c>
      <c r="J677">
        <v>187</v>
      </c>
      <c r="K677" t="s">
        <v>988</v>
      </c>
      <c r="L677" t="s">
        <v>989</v>
      </c>
      <c r="M677" t="s">
        <v>850</v>
      </c>
      <c r="N677" t="s">
        <v>851</v>
      </c>
      <c r="O677" t="s">
        <v>450</v>
      </c>
      <c r="P677">
        <v>6907</v>
      </c>
      <c r="Q677">
        <v>4915</v>
      </c>
      <c r="R677" t="s">
        <v>65</v>
      </c>
    </row>
    <row r="678" spans="1:18" x14ac:dyDescent="0.2">
      <c r="A678" t="s">
        <v>990</v>
      </c>
      <c r="B678" t="s">
        <v>849</v>
      </c>
      <c r="C678" t="s">
        <v>849</v>
      </c>
      <c r="D678" t="s">
        <v>52</v>
      </c>
      <c r="E678" t="str">
        <f>"C22R2is"</f>
        <v>C22R2is</v>
      </c>
      <c r="F678" t="s">
        <v>67</v>
      </c>
      <c r="G678" t="s">
        <v>68</v>
      </c>
      <c r="H678" s="1">
        <v>14447.32</v>
      </c>
      <c r="I678" t="s">
        <v>296</v>
      </c>
      <c r="J678">
        <v>975</v>
      </c>
      <c r="K678" t="s">
        <v>988</v>
      </c>
      <c r="L678" t="s">
        <v>989</v>
      </c>
      <c r="M678" t="s">
        <v>850</v>
      </c>
      <c r="N678" t="s">
        <v>851</v>
      </c>
      <c r="O678" t="s">
        <v>450</v>
      </c>
      <c r="P678">
        <v>6907</v>
      </c>
      <c r="Q678">
        <v>4915</v>
      </c>
      <c r="R678" t="s">
        <v>65</v>
      </c>
    </row>
    <row r="679" spans="1:18" x14ac:dyDescent="0.2">
      <c r="A679" t="s">
        <v>991</v>
      </c>
      <c r="B679" t="s">
        <v>849</v>
      </c>
      <c r="C679" t="s">
        <v>849</v>
      </c>
      <c r="D679" t="s">
        <v>52</v>
      </c>
      <c r="E679" t="str">
        <f>"C22R3g"</f>
        <v>C22R3g</v>
      </c>
      <c r="F679" t="s">
        <v>71</v>
      </c>
      <c r="G679" t="s">
        <v>72</v>
      </c>
      <c r="H679" s="1">
        <v>205021.23</v>
      </c>
      <c r="I679" t="s">
        <v>298</v>
      </c>
      <c r="J679">
        <v>1653</v>
      </c>
      <c r="K679" t="s">
        <v>992</v>
      </c>
      <c r="L679" t="s">
        <v>993</v>
      </c>
      <c r="M679" t="s">
        <v>850</v>
      </c>
      <c r="N679" t="s">
        <v>851</v>
      </c>
      <c r="O679" t="s">
        <v>450</v>
      </c>
      <c r="P679">
        <v>6907</v>
      </c>
      <c r="Q679">
        <v>4915</v>
      </c>
      <c r="R679" t="s">
        <v>65</v>
      </c>
    </row>
    <row r="680" spans="1:18" x14ac:dyDescent="0.2">
      <c r="A680" t="s">
        <v>994</v>
      </c>
      <c r="B680" t="s">
        <v>849</v>
      </c>
      <c r="C680" t="s">
        <v>849</v>
      </c>
      <c r="D680" t="s">
        <v>52</v>
      </c>
      <c r="E680" t="str">
        <f>"C22R4g"</f>
        <v>C22R4g</v>
      </c>
      <c r="F680" t="s">
        <v>71</v>
      </c>
      <c r="G680" t="s">
        <v>72</v>
      </c>
      <c r="H680" s="1">
        <v>220078.61</v>
      </c>
      <c r="I680" t="s">
        <v>298</v>
      </c>
      <c r="J680">
        <v>1550</v>
      </c>
      <c r="K680" t="s">
        <v>995</v>
      </c>
      <c r="L680" t="s">
        <v>996</v>
      </c>
      <c r="M680" t="s">
        <v>850</v>
      </c>
      <c r="N680" t="s">
        <v>851</v>
      </c>
      <c r="O680" t="s">
        <v>450</v>
      </c>
      <c r="P680">
        <v>6907</v>
      </c>
      <c r="Q680">
        <v>4915</v>
      </c>
      <c r="R680" t="s">
        <v>65</v>
      </c>
    </row>
    <row r="681" spans="1:18" x14ac:dyDescent="0.2">
      <c r="A681" t="s">
        <v>997</v>
      </c>
      <c r="B681" t="s">
        <v>849</v>
      </c>
      <c r="C681" t="s">
        <v>849</v>
      </c>
      <c r="D681" t="s">
        <v>52</v>
      </c>
      <c r="E681" t="str">
        <f>"C23R1is"</f>
        <v>C23R1is</v>
      </c>
      <c r="F681" t="s">
        <v>57</v>
      </c>
      <c r="G681" t="s">
        <v>58</v>
      </c>
      <c r="H681" s="1">
        <v>26127.02</v>
      </c>
      <c r="I681" t="s">
        <v>291</v>
      </c>
      <c r="J681">
        <v>311</v>
      </c>
      <c r="K681">
        <v>34483</v>
      </c>
      <c r="L681">
        <v>22898</v>
      </c>
      <c r="M681" t="s">
        <v>850</v>
      </c>
      <c r="N681" t="s">
        <v>851</v>
      </c>
      <c r="O681" t="s">
        <v>450</v>
      </c>
      <c r="P681">
        <v>6907</v>
      </c>
      <c r="Q681">
        <v>4915</v>
      </c>
      <c r="R681" t="s">
        <v>65</v>
      </c>
    </row>
    <row r="682" spans="1:18" x14ac:dyDescent="0.2">
      <c r="A682" t="s">
        <v>998</v>
      </c>
      <c r="B682" t="s">
        <v>849</v>
      </c>
      <c r="C682" t="s">
        <v>849</v>
      </c>
      <c r="D682" t="s">
        <v>52</v>
      </c>
      <c r="E682" t="str">
        <f>"C23R1is"</f>
        <v>C23R1is</v>
      </c>
      <c r="F682" t="s">
        <v>67</v>
      </c>
      <c r="G682" t="s">
        <v>68</v>
      </c>
      <c r="H682" s="1">
        <v>7229.9</v>
      </c>
      <c r="I682" t="s">
        <v>296</v>
      </c>
      <c r="J682">
        <v>266</v>
      </c>
      <c r="K682">
        <v>34483</v>
      </c>
      <c r="L682">
        <v>22898</v>
      </c>
      <c r="M682" t="s">
        <v>850</v>
      </c>
      <c r="N682" t="s">
        <v>851</v>
      </c>
      <c r="O682" t="s">
        <v>450</v>
      </c>
      <c r="P682">
        <v>6907</v>
      </c>
      <c r="Q682">
        <v>4915</v>
      </c>
      <c r="R682" t="s">
        <v>65</v>
      </c>
    </row>
    <row r="683" spans="1:18" x14ac:dyDescent="0.2">
      <c r="A683" t="s">
        <v>999</v>
      </c>
      <c r="B683" t="s">
        <v>849</v>
      </c>
      <c r="C683" t="s">
        <v>849</v>
      </c>
      <c r="D683" t="s">
        <v>52</v>
      </c>
      <c r="E683" t="str">
        <f>"C23R2ig"</f>
        <v>C23R2ig</v>
      </c>
      <c r="F683" t="s">
        <v>57</v>
      </c>
      <c r="G683" t="s">
        <v>58</v>
      </c>
      <c r="H683" s="1">
        <v>39650.04</v>
      </c>
      <c r="I683" t="s">
        <v>363</v>
      </c>
      <c r="J683">
        <v>404</v>
      </c>
      <c r="K683" t="s">
        <v>1000</v>
      </c>
      <c r="L683" t="s">
        <v>1001</v>
      </c>
      <c r="M683" t="s">
        <v>850</v>
      </c>
      <c r="N683" t="s">
        <v>851</v>
      </c>
      <c r="O683" t="s">
        <v>450</v>
      </c>
      <c r="P683">
        <v>6907</v>
      </c>
      <c r="Q683">
        <v>4915</v>
      </c>
      <c r="R683" t="s">
        <v>65</v>
      </c>
    </row>
    <row r="684" spans="1:18" x14ac:dyDescent="0.2">
      <c r="A684" t="s">
        <v>1002</v>
      </c>
      <c r="B684" t="s">
        <v>849</v>
      </c>
      <c r="C684" t="s">
        <v>849</v>
      </c>
      <c r="D684" t="s">
        <v>52</v>
      </c>
      <c r="E684" t="str">
        <f>"C23R2ig"</f>
        <v>C23R2ig</v>
      </c>
      <c r="F684" t="s">
        <v>71</v>
      </c>
      <c r="G684" t="s">
        <v>72</v>
      </c>
      <c r="H684" s="1">
        <v>192700.26</v>
      </c>
      <c r="I684" t="s">
        <v>298</v>
      </c>
      <c r="J684">
        <v>917</v>
      </c>
      <c r="K684" t="s">
        <v>1000</v>
      </c>
      <c r="L684" t="s">
        <v>1001</v>
      </c>
      <c r="M684" t="s">
        <v>850</v>
      </c>
      <c r="N684" t="s">
        <v>851</v>
      </c>
      <c r="O684" t="s">
        <v>450</v>
      </c>
      <c r="P684">
        <v>6907</v>
      </c>
      <c r="Q684">
        <v>4915</v>
      </c>
      <c r="R684" t="s">
        <v>65</v>
      </c>
    </row>
    <row r="685" spans="1:18" x14ac:dyDescent="0.2">
      <c r="A685" t="s">
        <v>1003</v>
      </c>
      <c r="B685" t="s">
        <v>849</v>
      </c>
      <c r="C685" t="s">
        <v>849</v>
      </c>
      <c r="D685" t="s">
        <v>52</v>
      </c>
      <c r="E685" t="str">
        <f>"C24R1is"</f>
        <v>C24R1is</v>
      </c>
      <c r="F685" t="s">
        <v>57</v>
      </c>
      <c r="G685" t="s">
        <v>58</v>
      </c>
      <c r="H685" s="1">
        <v>11101</v>
      </c>
      <c r="I685" t="s">
        <v>291</v>
      </c>
      <c r="J685">
        <v>158</v>
      </c>
      <c r="K685">
        <v>33043</v>
      </c>
      <c r="L685">
        <v>18466</v>
      </c>
      <c r="M685" t="s">
        <v>850</v>
      </c>
      <c r="N685" t="s">
        <v>851</v>
      </c>
      <c r="O685" t="s">
        <v>450</v>
      </c>
      <c r="P685">
        <v>6907</v>
      </c>
      <c r="Q685">
        <v>4915</v>
      </c>
      <c r="R685" t="s">
        <v>65</v>
      </c>
    </row>
    <row r="686" spans="1:18" x14ac:dyDescent="0.2">
      <c r="A686" t="s">
        <v>1004</v>
      </c>
      <c r="B686" t="s">
        <v>849</v>
      </c>
      <c r="C686" t="s">
        <v>849</v>
      </c>
      <c r="D686" t="s">
        <v>52</v>
      </c>
      <c r="E686" t="str">
        <f>"C24R1is"</f>
        <v>C24R1is</v>
      </c>
      <c r="F686" t="s">
        <v>67</v>
      </c>
      <c r="G686" t="s">
        <v>68</v>
      </c>
      <c r="H686" s="1">
        <v>6402.56</v>
      </c>
      <c r="I686" t="s">
        <v>296</v>
      </c>
      <c r="J686">
        <v>322</v>
      </c>
      <c r="K686">
        <v>33043</v>
      </c>
      <c r="L686">
        <v>18466</v>
      </c>
      <c r="M686" t="s">
        <v>850</v>
      </c>
      <c r="N686" t="s">
        <v>851</v>
      </c>
      <c r="O686" t="s">
        <v>450</v>
      </c>
      <c r="P686">
        <v>6907</v>
      </c>
      <c r="Q686">
        <v>4915</v>
      </c>
      <c r="R686" t="s">
        <v>65</v>
      </c>
    </row>
    <row r="687" spans="1:18" x14ac:dyDescent="0.2">
      <c r="A687" t="s">
        <v>1005</v>
      </c>
      <c r="B687" t="s">
        <v>849</v>
      </c>
      <c r="C687" t="s">
        <v>849</v>
      </c>
      <c r="D687" t="s">
        <v>52</v>
      </c>
      <c r="E687" t="str">
        <f>"C24R2g"</f>
        <v>C24R2g</v>
      </c>
      <c r="F687" t="s">
        <v>71</v>
      </c>
      <c r="G687" t="s">
        <v>72</v>
      </c>
      <c r="H687" s="1">
        <v>177723.51999999999</v>
      </c>
      <c r="I687" t="s">
        <v>298</v>
      </c>
      <c r="J687">
        <v>863</v>
      </c>
      <c r="K687">
        <v>34152</v>
      </c>
      <c r="L687">
        <v>19551</v>
      </c>
      <c r="M687" t="s">
        <v>850</v>
      </c>
      <c r="N687" t="s">
        <v>851</v>
      </c>
      <c r="O687" t="s">
        <v>450</v>
      </c>
      <c r="P687">
        <v>6907</v>
      </c>
      <c r="Q687">
        <v>4915</v>
      </c>
      <c r="R687" t="s">
        <v>65</v>
      </c>
    </row>
    <row r="688" spans="1:18" x14ac:dyDescent="0.2">
      <c r="A688" t="s">
        <v>1006</v>
      </c>
      <c r="B688" t="s">
        <v>849</v>
      </c>
      <c r="C688" t="s">
        <v>849</v>
      </c>
      <c r="D688" t="s">
        <v>52</v>
      </c>
      <c r="E688" t="str">
        <f>"C25R1is"</f>
        <v>C25R1is</v>
      </c>
      <c r="F688" t="s">
        <v>57</v>
      </c>
      <c r="G688" t="s">
        <v>58</v>
      </c>
      <c r="H688" s="1">
        <v>31479.85</v>
      </c>
      <c r="I688" t="s">
        <v>291</v>
      </c>
      <c r="J688">
        <v>339</v>
      </c>
      <c r="K688" t="s">
        <v>1007</v>
      </c>
      <c r="L688" t="s">
        <v>1008</v>
      </c>
      <c r="M688" t="s">
        <v>850</v>
      </c>
      <c r="N688" t="s">
        <v>851</v>
      </c>
      <c r="O688" t="s">
        <v>450</v>
      </c>
      <c r="P688">
        <v>6907</v>
      </c>
      <c r="Q688">
        <v>4915</v>
      </c>
      <c r="R688" t="s">
        <v>65</v>
      </c>
    </row>
    <row r="689" spans="1:18" x14ac:dyDescent="0.2">
      <c r="A689" t="s">
        <v>1009</v>
      </c>
      <c r="B689" t="s">
        <v>849</v>
      </c>
      <c r="C689" t="s">
        <v>849</v>
      </c>
      <c r="D689" t="s">
        <v>52</v>
      </c>
      <c r="E689" t="str">
        <f>"C25R1is"</f>
        <v>C25R1is</v>
      </c>
      <c r="F689" t="s">
        <v>67</v>
      </c>
      <c r="G689" t="s">
        <v>68</v>
      </c>
      <c r="H689" s="1">
        <v>26593.89</v>
      </c>
      <c r="I689" t="s">
        <v>296</v>
      </c>
      <c r="J689">
        <v>1529</v>
      </c>
      <c r="K689" t="s">
        <v>1007</v>
      </c>
      <c r="L689" t="s">
        <v>1008</v>
      </c>
      <c r="M689" t="s">
        <v>850</v>
      </c>
      <c r="N689" t="s">
        <v>851</v>
      </c>
      <c r="O689" t="s">
        <v>450</v>
      </c>
      <c r="P689">
        <v>6907</v>
      </c>
      <c r="Q689">
        <v>4915</v>
      </c>
      <c r="R689" t="s">
        <v>65</v>
      </c>
    </row>
    <row r="690" spans="1:18" x14ac:dyDescent="0.2">
      <c r="A690" t="s">
        <v>1010</v>
      </c>
      <c r="B690" t="s">
        <v>849</v>
      </c>
      <c r="C690" t="s">
        <v>849</v>
      </c>
      <c r="D690" t="s">
        <v>52</v>
      </c>
      <c r="E690" t="str">
        <f>"C25R2is"</f>
        <v>C25R2is</v>
      </c>
      <c r="F690" t="s">
        <v>57</v>
      </c>
      <c r="G690" t="s">
        <v>58</v>
      </c>
      <c r="H690" s="1">
        <v>33377.879999999997</v>
      </c>
      <c r="I690" t="s">
        <v>291</v>
      </c>
      <c r="J690">
        <v>332</v>
      </c>
      <c r="K690" t="s">
        <v>1011</v>
      </c>
      <c r="L690" t="s">
        <v>1012</v>
      </c>
      <c r="M690" t="s">
        <v>850</v>
      </c>
      <c r="N690" t="s">
        <v>851</v>
      </c>
      <c r="O690" t="s">
        <v>450</v>
      </c>
      <c r="P690">
        <v>6907</v>
      </c>
      <c r="Q690">
        <v>4915</v>
      </c>
      <c r="R690" t="s">
        <v>65</v>
      </c>
    </row>
    <row r="691" spans="1:18" x14ac:dyDescent="0.2">
      <c r="A691" t="s">
        <v>1013</v>
      </c>
      <c r="B691" t="s">
        <v>849</v>
      </c>
      <c r="C691" t="s">
        <v>849</v>
      </c>
      <c r="D691" t="s">
        <v>52</v>
      </c>
      <c r="E691" t="str">
        <f>"C25R2is"</f>
        <v>C25R2is</v>
      </c>
      <c r="F691" t="s">
        <v>67</v>
      </c>
      <c r="G691" t="s">
        <v>68</v>
      </c>
      <c r="H691" s="1">
        <v>27890.98</v>
      </c>
      <c r="I691" t="s">
        <v>296</v>
      </c>
      <c r="J691">
        <v>1292</v>
      </c>
      <c r="K691" t="s">
        <v>1011</v>
      </c>
      <c r="L691" t="s">
        <v>1012</v>
      </c>
      <c r="M691" t="s">
        <v>850</v>
      </c>
      <c r="N691" t="s">
        <v>851</v>
      </c>
      <c r="O691" t="s">
        <v>450</v>
      </c>
      <c r="P691">
        <v>6907</v>
      </c>
      <c r="Q691">
        <v>4915</v>
      </c>
      <c r="R691" t="s">
        <v>65</v>
      </c>
    </row>
    <row r="692" spans="1:18" x14ac:dyDescent="0.2">
      <c r="A692" t="s">
        <v>1014</v>
      </c>
      <c r="B692" t="s">
        <v>849</v>
      </c>
      <c r="C692" t="s">
        <v>849</v>
      </c>
      <c r="D692" t="s">
        <v>52</v>
      </c>
      <c r="E692" t="str">
        <f>"C25R3g"</f>
        <v>C25R3g</v>
      </c>
      <c r="F692" t="s">
        <v>71</v>
      </c>
      <c r="G692" t="s">
        <v>72</v>
      </c>
      <c r="H692" s="1">
        <v>253653.76000000001</v>
      </c>
      <c r="I692" t="s">
        <v>298</v>
      </c>
      <c r="J692">
        <v>1939</v>
      </c>
      <c r="K692" t="s">
        <v>1015</v>
      </c>
      <c r="L692" t="s">
        <v>1016</v>
      </c>
      <c r="M692" t="s">
        <v>850</v>
      </c>
      <c r="N692" t="s">
        <v>851</v>
      </c>
      <c r="O692" t="s">
        <v>450</v>
      </c>
      <c r="P692">
        <v>6907</v>
      </c>
      <c r="Q692">
        <v>4915</v>
      </c>
      <c r="R692" t="s">
        <v>65</v>
      </c>
    </row>
    <row r="693" spans="1:18" x14ac:dyDescent="0.2">
      <c r="A693" t="s">
        <v>1017</v>
      </c>
      <c r="B693" t="s">
        <v>849</v>
      </c>
      <c r="C693" t="s">
        <v>849</v>
      </c>
      <c r="D693" t="s">
        <v>52</v>
      </c>
      <c r="E693" t="str">
        <f>"C25R4g"</f>
        <v>C25R4g</v>
      </c>
      <c r="F693" t="s">
        <v>71</v>
      </c>
      <c r="G693" t="s">
        <v>72</v>
      </c>
      <c r="H693" s="1">
        <v>257740.7</v>
      </c>
      <c r="I693" t="s">
        <v>298</v>
      </c>
      <c r="J693">
        <v>1598</v>
      </c>
      <c r="K693" t="s">
        <v>1018</v>
      </c>
      <c r="L693" t="s">
        <v>1019</v>
      </c>
      <c r="M693" t="s">
        <v>850</v>
      </c>
      <c r="N693" t="s">
        <v>851</v>
      </c>
      <c r="O693" t="s">
        <v>450</v>
      </c>
      <c r="P693">
        <v>6907</v>
      </c>
      <c r="Q693">
        <v>4915</v>
      </c>
      <c r="R693" t="s">
        <v>65</v>
      </c>
    </row>
    <row r="694" spans="1:18" x14ac:dyDescent="0.2">
      <c r="A694" t="s">
        <v>1020</v>
      </c>
      <c r="B694" t="s">
        <v>849</v>
      </c>
      <c r="C694" t="s">
        <v>849</v>
      </c>
      <c r="D694" t="s">
        <v>52</v>
      </c>
      <c r="E694" t="str">
        <f>"C26R1is"</f>
        <v>C26R1is</v>
      </c>
      <c r="F694" t="s">
        <v>57</v>
      </c>
      <c r="G694" t="s">
        <v>58</v>
      </c>
      <c r="H694" s="1">
        <v>7490.85</v>
      </c>
      <c r="I694" t="s">
        <v>291</v>
      </c>
      <c r="J694">
        <v>154</v>
      </c>
      <c r="K694">
        <v>28214</v>
      </c>
      <c r="L694">
        <v>31540</v>
      </c>
      <c r="M694" t="s">
        <v>850</v>
      </c>
      <c r="N694" t="s">
        <v>851</v>
      </c>
      <c r="O694" t="s">
        <v>450</v>
      </c>
      <c r="P694">
        <v>6907</v>
      </c>
      <c r="Q694">
        <v>4915</v>
      </c>
      <c r="R694" t="s">
        <v>65</v>
      </c>
    </row>
    <row r="695" spans="1:18" x14ac:dyDescent="0.2">
      <c r="A695" t="s">
        <v>1021</v>
      </c>
      <c r="B695" t="s">
        <v>849</v>
      </c>
      <c r="C695" t="s">
        <v>849</v>
      </c>
      <c r="D695" t="s">
        <v>52</v>
      </c>
      <c r="E695" t="str">
        <f>"C26R1is"</f>
        <v>C26R1is</v>
      </c>
      <c r="F695" t="s">
        <v>67</v>
      </c>
      <c r="G695" t="s">
        <v>68</v>
      </c>
      <c r="H695" s="1">
        <v>17866.43</v>
      </c>
      <c r="I695" t="s">
        <v>296</v>
      </c>
      <c r="J695">
        <v>1308</v>
      </c>
      <c r="K695">
        <v>28214</v>
      </c>
      <c r="L695">
        <v>31540</v>
      </c>
      <c r="M695" t="s">
        <v>850</v>
      </c>
      <c r="N695" t="s">
        <v>851</v>
      </c>
      <c r="O695" t="s">
        <v>450</v>
      </c>
      <c r="P695">
        <v>6907</v>
      </c>
      <c r="Q695">
        <v>4915</v>
      </c>
      <c r="R695" t="s">
        <v>65</v>
      </c>
    </row>
    <row r="696" spans="1:18" x14ac:dyDescent="0.2">
      <c r="A696" t="s">
        <v>1022</v>
      </c>
      <c r="B696" t="s">
        <v>849</v>
      </c>
      <c r="C696" t="s">
        <v>849</v>
      </c>
      <c r="D696" t="s">
        <v>52</v>
      </c>
      <c r="E696" t="str">
        <f>"C26R2is"</f>
        <v>C26R2is</v>
      </c>
      <c r="F696" t="s">
        <v>57</v>
      </c>
      <c r="G696" t="s">
        <v>58</v>
      </c>
      <c r="H696" s="1">
        <v>13588.46</v>
      </c>
      <c r="I696" t="s">
        <v>291</v>
      </c>
      <c r="J696">
        <v>226</v>
      </c>
      <c r="K696">
        <v>29603</v>
      </c>
      <c r="L696">
        <v>30155</v>
      </c>
      <c r="M696" t="s">
        <v>850</v>
      </c>
      <c r="N696" t="s">
        <v>851</v>
      </c>
      <c r="O696" t="s">
        <v>450</v>
      </c>
      <c r="P696">
        <v>6907</v>
      </c>
      <c r="Q696">
        <v>4915</v>
      </c>
      <c r="R696" t="s">
        <v>65</v>
      </c>
    </row>
    <row r="697" spans="1:18" x14ac:dyDescent="0.2">
      <c r="A697" t="s">
        <v>1023</v>
      </c>
      <c r="B697" t="s">
        <v>849</v>
      </c>
      <c r="C697" t="s">
        <v>849</v>
      </c>
      <c r="D697" t="s">
        <v>52</v>
      </c>
      <c r="E697" t="str">
        <f>"C26R2is"</f>
        <v>C26R2is</v>
      </c>
      <c r="F697" t="s">
        <v>67</v>
      </c>
      <c r="G697" t="s">
        <v>68</v>
      </c>
      <c r="H697" s="1">
        <v>17748.990000000002</v>
      </c>
      <c r="I697" t="s">
        <v>296</v>
      </c>
      <c r="J697">
        <v>1285</v>
      </c>
      <c r="K697">
        <v>29603</v>
      </c>
      <c r="L697">
        <v>30155</v>
      </c>
      <c r="M697" t="s">
        <v>850</v>
      </c>
      <c r="N697" t="s">
        <v>851</v>
      </c>
      <c r="O697" t="s">
        <v>450</v>
      </c>
      <c r="P697">
        <v>6907</v>
      </c>
      <c r="Q697">
        <v>4915</v>
      </c>
      <c r="R697" t="s">
        <v>65</v>
      </c>
    </row>
    <row r="698" spans="1:18" x14ac:dyDescent="0.2">
      <c r="A698" t="s">
        <v>1024</v>
      </c>
      <c r="B698" t="s">
        <v>849</v>
      </c>
      <c r="C698" t="s">
        <v>849</v>
      </c>
      <c r="D698" t="s">
        <v>52</v>
      </c>
      <c r="E698" t="str">
        <f>"C26R3ig"</f>
        <v>C26R3ig</v>
      </c>
      <c r="F698" t="s">
        <v>57</v>
      </c>
      <c r="G698" t="s">
        <v>58</v>
      </c>
      <c r="H698" s="1">
        <v>31472.97</v>
      </c>
      <c r="I698" t="s">
        <v>363</v>
      </c>
      <c r="J698">
        <v>245</v>
      </c>
      <c r="K698">
        <v>28102</v>
      </c>
      <c r="L698">
        <v>28854</v>
      </c>
      <c r="M698" t="s">
        <v>850</v>
      </c>
      <c r="N698" t="s">
        <v>851</v>
      </c>
      <c r="O698" t="s">
        <v>450</v>
      </c>
      <c r="P698">
        <v>6907</v>
      </c>
      <c r="Q698">
        <v>4915</v>
      </c>
      <c r="R698" t="s">
        <v>65</v>
      </c>
    </row>
    <row r="699" spans="1:18" x14ac:dyDescent="0.2">
      <c r="A699" t="s">
        <v>1025</v>
      </c>
      <c r="B699" t="s">
        <v>849</v>
      </c>
      <c r="C699" t="s">
        <v>849</v>
      </c>
      <c r="D699" t="s">
        <v>52</v>
      </c>
      <c r="E699" t="str">
        <f>"C26R3ig"</f>
        <v>C26R3ig</v>
      </c>
      <c r="F699" t="s">
        <v>71</v>
      </c>
      <c r="G699" t="s">
        <v>72</v>
      </c>
      <c r="H699" s="1">
        <v>157101</v>
      </c>
      <c r="I699" t="s">
        <v>298</v>
      </c>
      <c r="J699">
        <v>1222</v>
      </c>
      <c r="K699">
        <v>28102</v>
      </c>
      <c r="L699">
        <v>28854</v>
      </c>
      <c r="M699" t="s">
        <v>850</v>
      </c>
      <c r="N699" t="s">
        <v>851</v>
      </c>
      <c r="O699" t="s">
        <v>450</v>
      </c>
      <c r="P699">
        <v>6907</v>
      </c>
      <c r="Q699">
        <v>4915</v>
      </c>
      <c r="R699" t="s">
        <v>65</v>
      </c>
    </row>
    <row r="700" spans="1:18" x14ac:dyDescent="0.2">
      <c r="A700" t="s">
        <v>1026</v>
      </c>
      <c r="B700" t="s">
        <v>849</v>
      </c>
      <c r="C700" t="s">
        <v>849</v>
      </c>
      <c r="D700" t="s">
        <v>52</v>
      </c>
      <c r="E700" t="str">
        <f>"C26R4ig"</f>
        <v>C26R4ig</v>
      </c>
      <c r="F700" t="s">
        <v>57</v>
      </c>
      <c r="G700" t="s">
        <v>58</v>
      </c>
      <c r="H700" s="1">
        <v>37569.93</v>
      </c>
      <c r="I700" t="s">
        <v>363</v>
      </c>
      <c r="J700">
        <v>302</v>
      </c>
      <c r="K700">
        <v>29441</v>
      </c>
      <c r="L700">
        <v>28954</v>
      </c>
      <c r="M700" t="s">
        <v>850</v>
      </c>
      <c r="N700" t="s">
        <v>851</v>
      </c>
      <c r="O700" t="s">
        <v>450</v>
      </c>
      <c r="P700">
        <v>6907</v>
      </c>
      <c r="Q700">
        <v>4915</v>
      </c>
      <c r="R700" t="s">
        <v>65</v>
      </c>
    </row>
    <row r="701" spans="1:18" x14ac:dyDescent="0.2">
      <c r="A701" t="s">
        <v>1103</v>
      </c>
      <c r="H701" s="3">
        <f>SUM(H606:H700)</f>
        <v>6819549.589999998</v>
      </c>
    </row>
    <row r="702" spans="1:18" x14ac:dyDescent="0.2">
      <c r="A702" t="s">
        <v>1027</v>
      </c>
      <c r="B702" t="s">
        <v>54</v>
      </c>
      <c r="H702" s="1"/>
    </row>
    <row r="703" spans="1:18" x14ac:dyDescent="0.2">
      <c r="A703" t="s">
        <v>1028</v>
      </c>
      <c r="B703" t="s">
        <v>849</v>
      </c>
      <c r="C703" t="s">
        <v>849</v>
      </c>
      <c r="D703" t="s">
        <v>52</v>
      </c>
      <c r="E703" t="str">
        <f>"C26R4ig"</f>
        <v>C26R4ig</v>
      </c>
      <c r="F703" t="s">
        <v>71</v>
      </c>
      <c r="G703" t="s">
        <v>72</v>
      </c>
      <c r="H703" s="1">
        <v>109441.72</v>
      </c>
      <c r="I703" t="s">
        <v>298</v>
      </c>
      <c r="J703">
        <v>1263</v>
      </c>
      <c r="K703">
        <v>29441</v>
      </c>
      <c r="L703">
        <v>28954</v>
      </c>
      <c r="M703" t="s">
        <v>850</v>
      </c>
      <c r="N703" t="s">
        <v>851</v>
      </c>
      <c r="O703" t="s">
        <v>450</v>
      </c>
      <c r="P703">
        <v>6907</v>
      </c>
      <c r="Q703">
        <v>4915</v>
      </c>
      <c r="R703" t="s">
        <v>65</v>
      </c>
    </row>
    <row r="704" spans="1:18" x14ac:dyDescent="0.2">
      <c r="A704" t="s">
        <v>1029</v>
      </c>
      <c r="B704" t="s">
        <v>849</v>
      </c>
      <c r="C704" t="s">
        <v>849</v>
      </c>
      <c r="D704" t="s">
        <v>52</v>
      </c>
      <c r="E704" t="str">
        <f>"C27R1is"</f>
        <v>C27R1is</v>
      </c>
      <c r="F704" t="s">
        <v>57</v>
      </c>
      <c r="G704" t="s">
        <v>58</v>
      </c>
      <c r="H704" s="1">
        <v>56511.69</v>
      </c>
      <c r="I704" t="s">
        <v>291</v>
      </c>
      <c r="J704">
        <v>465</v>
      </c>
      <c r="K704" t="s">
        <v>1030</v>
      </c>
      <c r="L704" t="s">
        <v>1031</v>
      </c>
      <c r="M704" t="s">
        <v>850</v>
      </c>
      <c r="N704" t="s">
        <v>851</v>
      </c>
      <c r="O704" t="s">
        <v>450</v>
      </c>
      <c r="P704">
        <v>6907</v>
      </c>
      <c r="Q704">
        <v>4915</v>
      </c>
      <c r="R704" t="s">
        <v>65</v>
      </c>
    </row>
    <row r="705" spans="1:18" x14ac:dyDescent="0.2">
      <c r="A705" t="s">
        <v>1032</v>
      </c>
      <c r="B705" t="s">
        <v>849</v>
      </c>
      <c r="C705" t="s">
        <v>849</v>
      </c>
      <c r="D705" t="s">
        <v>52</v>
      </c>
      <c r="E705" t="str">
        <f>"C27R1is"</f>
        <v>C27R1is</v>
      </c>
      <c r="F705" t="s">
        <v>67</v>
      </c>
      <c r="G705" t="s">
        <v>68</v>
      </c>
      <c r="H705" s="1">
        <v>23866.76</v>
      </c>
      <c r="I705" t="s">
        <v>296</v>
      </c>
      <c r="J705">
        <v>820</v>
      </c>
      <c r="K705" t="s">
        <v>1030</v>
      </c>
      <c r="L705" t="s">
        <v>1031</v>
      </c>
      <c r="M705" t="s">
        <v>850</v>
      </c>
      <c r="N705" t="s">
        <v>851</v>
      </c>
      <c r="O705" t="s">
        <v>450</v>
      </c>
      <c r="P705">
        <v>6907</v>
      </c>
      <c r="Q705">
        <v>4915</v>
      </c>
      <c r="R705" t="s">
        <v>65</v>
      </c>
    </row>
    <row r="706" spans="1:18" x14ac:dyDescent="0.2">
      <c r="A706" t="s">
        <v>1033</v>
      </c>
      <c r="B706" t="s">
        <v>849</v>
      </c>
      <c r="C706" t="s">
        <v>849</v>
      </c>
      <c r="D706" t="s">
        <v>52</v>
      </c>
      <c r="E706" t="str">
        <f>"C27R2g"</f>
        <v>C27R2g</v>
      </c>
      <c r="F706" t="s">
        <v>71</v>
      </c>
      <c r="G706" t="s">
        <v>72</v>
      </c>
      <c r="H706" s="1">
        <v>234117.29</v>
      </c>
      <c r="I706" t="s">
        <v>298</v>
      </c>
      <c r="J706">
        <v>1322</v>
      </c>
      <c r="K706" t="s">
        <v>1034</v>
      </c>
      <c r="L706" t="s">
        <v>1035</v>
      </c>
      <c r="M706" t="s">
        <v>850</v>
      </c>
      <c r="N706" t="s">
        <v>851</v>
      </c>
      <c r="O706" t="s">
        <v>450</v>
      </c>
      <c r="P706">
        <v>6907</v>
      </c>
      <c r="Q706">
        <v>4915</v>
      </c>
      <c r="R706" t="s">
        <v>65</v>
      </c>
    </row>
    <row r="707" spans="1:18" x14ac:dyDescent="0.2">
      <c r="A707" t="s">
        <v>1036</v>
      </c>
      <c r="B707" t="s">
        <v>849</v>
      </c>
      <c r="C707" t="s">
        <v>849</v>
      </c>
      <c r="D707" t="s">
        <v>52</v>
      </c>
      <c r="E707" t="str">
        <f>"C28R1is"</f>
        <v>C28R1is</v>
      </c>
      <c r="F707" t="s">
        <v>57</v>
      </c>
      <c r="G707" t="s">
        <v>58</v>
      </c>
      <c r="H707" s="1">
        <v>54636.22</v>
      </c>
      <c r="I707" t="s">
        <v>291</v>
      </c>
      <c r="J707">
        <v>729</v>
      </c>
      <c r="K707">
        <v>27472</v>
      </c>
      <c r="L707">
        <v>17232</v>
      </c>
      <c r="M707" t="s">
        <v>850</v>
      </c>
      <c r="N707" t="s">
        <v>851</v>
      </c>
      <c r="O707" t="s">
        <v>450</v>
      </c>
      <c r="P707">
        <v>6907</v>
      </c>
      <c r="Q707">
        <v>4915</v>
      </c>
      <c r="R707" t="s">
        <v>65</v>
      </c>
    </row>
    <row r="708" spans="1:18" x14ac:dyDescent="0.2">
      <c r="A708" t="s">
        <v>1037</v>
      </c>
      <c r="B708" t="s">
        <v>849</v>
      </c>
      <c r="C708" t="s">
        <v>849</v>
      </c>
      <c r="D708" t="s">
        <v>52</v>
      </c>
      <c r="E708" t="str">
        <f>"C28R1is"</f>
        <v>C28R1is</v>
      </c>
      <c r="F708" t="s">
        <v>67</v>
      </c>
      <c r="G708" t="s">
        <v>68</v>
      </c>
      <c r="H708" s="1">
        <v>32712.29</v>
      </c>
      <c r="I708" t="s">
        <v>296</v>
      </c>
      <c r="J708">
        <v>1527</v>
      </c>
      <c r="K708">
        <v>27472</v>
      </c>
      <c r="L708">
        <v>17232</v>
      </c>
      <c r="M708" t="s">
        <v>850</v>
      </c>
      <c r="N708" t="s">
        <v>851</v>
      </c>
      <c r="O708" t="s">
        <v>450</v>
      </c>
      <c r="P708">
        <v>6907</v>
      </c>
      <c r="Q708">
        <v>4915</v>
      </c>
      <c r="R708" t="s">
        <v>65</v>
      </c>
    </row>
    <row r="709" spans="1:18" x14ac:dyDescent="0.2">
      <c r="A709" t="s">
        <v>1038</v>
      </c>
      <c r="B709" t="s">
        <v>849</v>
      </c>
      <c r="C709" t="s">
        <v>849</v>
      </c>
      <c r="D709" t="s">
        <v>52</v>
      </c>
      <c r="E709" t="str">
        <f>"C28R2ig"</f>
        <v>C28R2ig</v>
      </c>
      <c r="F709" t="s">
        <v>57</v>
      </c>
      <c r="G709" t="s">
        <v>58</v>
      </c>
      <c r="H709" s="1">
        <v>40539.78</v>
      </c>
      <c r="I709" t="s">
        <v>363</v>
      </c>
      <c r="J709">
        <v>586</v>
      </c>
      <c r="K709">
        <v>25652</v>
      </c>
      <c r="L709">
        <v>17586</v>
      </c>
      <c r="M709" t="s">
        <v>850</v>
      </c>
      <c r="N709" t="s">
        <v>851</v>
      </c>
      <c r="O709" t="s">
        <v>450</v>
      </c>
      <c r="P709">
        <v>6907</v>
      </c>
      <c r="Q709">
        <v>4915</v>
      </c>
      <c r="R709" t="s">
        <v>65</v>
      </c>
    </row>
    <row r="710" spans="1:18" x14ac:dyDescent="0.2">
      <c r="A710" t="s">
        <v>1039</v>
      </c>
      <c r="B710" t="s">
        <v>849</v>
      </c>
      <c r="C710" t="s">
        <v>849</v>
      </c>
      <c r="D710" t="s">
        <v>52</v>
      </c>
      <c r="E710" t="str">
        <f>"C28R2ig"</f>
        <v>C28R2ig</v>
      </c>
      <c r="F710" t="s">
        <v>71</v>
      </c>
      <c r="G710" t="s">
        <v>72</v>
      </c>
      <c r="H710" s="1">
        <v>49660.99</v>
      </c>
      <c r="I710" t="s">
        <v>298</v>
      </c>
      <c r="J710">
        <v>787</v>
      </c>
      <c r="K710">
        <v>25652</v>
      </c>
      <c r="L710">
        <v>17586</v>
      </c>
      <c r="M710" t="s">
        <v>850</v>
      </c>
      <c r="N710" t="s">
        <v>851</v>
      </c>
      <c r="O710" t="s">
        <v>450</v>
      </c>
      <c r="P710">
        <v>6907</v>
      </c>
      <c r="Q710">
        <v>4915</v>
      </c>
      <c r="R710" t="s">
        <v>65</v>
      </c>
    </row>
    <row r="711" spans="1:18" x14ac:dyDescent="0.2">
      <c r="A711" t="s">
        <v>1040</v>
      </c>
      <c r="B711" t="s">
        <v>849</v>
      </c>
      <c r="C711" t="s">
        <v>849</v>
      </c>
      <c r="D711" t="s">
        <v>52</v>
      </c>
      <c r="E711" t="str">
        <f>"C28R3is"</f>
        <v>C28R3is</v>
      </c>
      <c r="F711" t="s">
        <v>57</v>
      </c>
      <c r="G711" t="s">
        <v>58</v>
      </c>
      <c r="H711" s="1">
        <v>40719.93</v>
      </c>
      <c r="I711" t="s">
        <v>487</v>
      </c>
      <c r="J711">
        <v>403</v>
      </c>
      <c r="K711" t="s">
        <v>1041</v>
      </c>
      <c r="L711" t="s">
        <v>1042</v>
      </c>
      <c r="M711" t="s">
        <v>850</v>
      </c>
      <c r="N711" t="s">
        <v>851</v>
      </c>
      <c r="O711" t="s">
        <v>450</v>
      </c>
      <c r="P711">
        <v>6907</v>
      </c>
      <c r="Q711">
        <v>4915</v>
      </c>
      <c r="R711" t="s">
        <v>65</v>
      </c>
    </row>
    <row r="712" spans="1:18" x14ac:dyDescent="0.2">
      <c r="A712" t="s">
        <v>1043</v>
      </c>
      <c r="B712" t="s">
        <v>849</v>
      </c>
      <c r="C712" t="s">
        <v>849</v>
      </c>
      <c r="D712" t="s">
        <v>52</v>
      </c>
      <c r="E712" t="str">
        <f>"C28R3is"</f>
        <v>C28R3is</v>
      </c>
      <c r="F712" t="s">
        <v>67</v>
      </c>
      <c r="G712" t="s">
        <v>68</v>
      </c>
      <c r="H712" s="1">
        <v>18113.78</v>
      </c>
      <c r="I712" t="s">
        <v>489</v>
      </c>
      <c r="J712">
        <v>600</v>
      </c>
      <c r="K712" t="s">
        <v>1041</v>
      </c>
      <c r="L712" t="s">
        <v>1042</v>
      </c>
      <c r="M712" t="s">
        <v>850</v>
      </c>
      <c r="N712" t="s">
        <v>851</v>
      </c>
      <c r="O712" t="s">
        <v>450</v>
      </c>
      <c r="P712">
        <v>6907</v>
      </c>
      <c r="Q712">
        <v>4915</v>
      </c>
      <c r="R712" t="s">
        <v>65</v>
      </c>
    </row>
    <row r="713" spans="1:18" x14ac:dyDescent="0.2">
      <c r="A713" t="s">
        <v>1044</v>
      </c>
      <c r="B713" t="s">
        <v>849</v>
      </c>
      <c r="C713" t="s">
        <v>849</v>
      </c>
      <c r="D713" t="s">
        <v>52</v>
      </c>
      <c r="E713" t="str">
        <f>"C28R4g"</f>
        <v>C28R4g</v>
      </c>
      <c r="F713" t="s">
        <v>71</v>
      </c>
      <c r="G713" t="s">
        <v>72</v>
      </c>
      <c r="H713" s="1">
        <v>257280.39</v>
      </c>
      <c r="I713" t="s">
        <v>298</v>
      </c>
      <c r="J713">
        <v>1369</v>
      </c>
      <c r="K713" t="s">
        <v>1045</v>
      </c>
      <c r="L713" t="s">
        <v>1046</v>
      </c>
      <c r="M713" t="s">
        <v>850</v>
      </c>
      <c r="N713" t="s">
        <v>851</v>
      </c>
      <c r="O713" t="s">
        <v>450</v>
      </c>
      <c r="P713">
        <v>6907</v>
      </c>
      <c r="Q713">
        <v>4915</v>
      </c>
      <c r="R713" t="s">
        <v>65</v>
      </c>
    </row>
    <row r="714" spans="1:18" x14ac:dyDescent="0.2">
      <c r="A714" t="s">
        <v>1047</v>
      </c>
      <c r="B714" t="s">
        <v>849</v>
      </c>
      <c r="C714" t="s">
        <v>849</v>
      </c>
      <c r="D714" t="s">
        <v>52</v>
      </c>
      <c r="E714" t="str">
        <f>"C28R5ig"</f>
        <v>C28R5ig</v>
      </c>
      <c r="F714" t="s">
        <v>57</v>
      </c>
      <c r="G714" t="s">
        <v>58</v>
      </c>
      <c r="H714" s="1">
        <v>68298.28</v>
      </c>
      <c r="I714" t="s">
        <v>363</v>
      </c>
      <c r="J714">
        <v>767</v>
      </c>
      <c r="K714">
        <v>29115</v>
      </c>
      <c r="L714">
        <v>17159</v>
      </c>
      <c r="M714" t="s">
        <v>850</v>
      </c>
      <c r="N714" t="s">
        <v>851</v>
      </c>
      <c r="O714" t="s">
        <v>450</v>
      </c>
      <c r="P714">
        <v>6907</v>
      </c>
      <c r="Q714">
        <v>4915</v>
      </c>
      <c r="R714" t="s">
        <v>65</v>
      </c>
    </row>
    <row r="715" spans="1:18" x14ac:dyDescent="0.2">
      <c r="A715" t="s">
        <v>1048</v>
      </c>
      <c r="B715" t="s">
        <v>849</v>
      </c>
      <c r="C715" t="s">
        <v>849</v>
      </c>
      <c r="D715" t="s">
        <v>52</v>
      </c>
      <c r="E715" t="str">
        <f>"C28R5ig"</f>
        <v>C28R5ig</v>
      </c>
      <c r="F715" t="s">
        <v>71</v>
      </c>
      <c r="G715" t="s">
        <v>72</v>
      </c>
      <c r="H715" s="1">
        <v>29921.97</v>
      </c>
      <c r="I715" t="s">
        <v>298</v>
      </c>
      <c r="J715">
        <v>233</v>
      </c>
      <c r="K715">
        <v>29115</v>
      </c>
      <c r="L715">
        <v>17159</v>
      </c>
      <c r="M715" t="s">
        <v>850</v>
      </c>
      <c r="N715" t="s">
        <v>851</v>
      </c>
      <c r="O715" t="s">
        <v>450</v>
      </c>
      <c r="P715">
        <v>6907</v>
      </c>
      <c r="Q715">
        <v>4915</v>
      </c>
      <c r="R715" t="s">
        <v>65</v>
      </c>
    </row>
    <row r="716" spans="1:18" x14ac:dyDescent="0.2">
      <c r="A716" t="s">
        <v>1049</v>
      </c>
      <c r="B716" t="s">
        <v>849</v>
      </c>
      <c r="C716" t="s">
        <v>849</v>
      </c>
      <c r="D716" t="s">
        <v>52</v>
      </c>
      <c r="E716" t="str">
        <f>"C29R1is"</f>
        <v>C29R1is</v>
      </c>
      <c r="F716" t="s">
        <v>57</v>
      </c>
      <c r="G716" t="s">
        <v>58</v>
      </c>
      <c r="H716" s="1">
        <v>16692.7</v>
      </c>
      <c r="I716" t="s">
        <v>291</v>
      </c>
      <c r="J716">
        <v>149</v>
      </c>
      <c r="K716">
        <v>21680</v>
      </c>
      <c r="L716">
        <v>36863</v>
      </c>
      <c r="M716" t="s">
        <v>850</v>
      </c>
      <c r="N716" t="s">
        <v>851</v>
      </c>
      <c r="O716" t="s">
        <v>450</v>
      </c>
      <c r="P716">
        <v>6907</v>
      </c>
      <c r="Q716">
        <v>4915</v>
      </c>
      <c r="R716" t="s">
        <v>65</v>
      </c>
    </row>
    <row r="717" spans="1:18" x14ac:dyDescent="0.2">
      <c r="A717" t="s">
        <v>1050</v>
      </c>
      <c r="B717" t="s">
        <v>849</v>
      </c>
      <c r="C717" t="s">
        <v>849</v>
      </c>
      <c r="D717" t="s">
        <v>52</v>
      </c>
      <c r="E717" t="str">
        <f>"C29R1is"</f>
        <v>C29R1is</v>
      </c>
      <c r="F717" t="s">
        <v>67</v>
      </c>
      <c r="G717" t="s">
        <v>68</v>
      </c>
      <c r="H717" s="1">
        <v>15597.69</v>
      </c>
      <c r="I717" t="s">
        <v>296</v>
      </c>
      <c r="J717">
        <v>916</v>
      </c>
      <c r="K717">
        <v>21680</v>
      </c>
      <c r="L717">
        <v>36863</v>
      </c>
      <c r="M717" t="s">
        <v>850</v>
      </c>
      <c r="N717" t="s">
        <v>851</v>
      </c>
      <c r="O717" t="s">
        <v>450</v>
      </c>
      <c r="P717">
        <v>6907</v>
      </c>
      <c r="Q717">
        <v>4915</v>
      </c>
      <c r="R717" t="s">
        <v>65</v>
      </c>
    </row>
    <row r="718" spans="1:18" x14ac:dyDescent="0.2">
      <c r="A718" t="s">
        <v>1051</v>
      </c>
      <c r="B718" t="s">
        <v>849</v>
      </c>
      <c r="C718" t="s">
        <v>849</v>
      </c>
      <c r="D718" t="s">
        <v>52</v>
      </c>
      <c r="E718" t="str">
        <f>"C29R2is"</f>
        <v>C29R2is</v>
      </c>
      <c r="F718" t="s">
        <v>57</v>
      </c>
      <c r="G718" t="s">
        <v>58</v>
      </c>
      <c r="H718" s="1">
        <v>14188.12</v>
      </c>
      <c r="I718" t="s">
        <v>291</v>
      </c>
      <c r="J718">
        <v>105</v>
      </c>
      <c r="K718">
        <v>23062</v>
      </c>
      <c r="L718">
        <v>36246</v>
      </c>
      <c r="M718" t="s">
        <v>850</v>
      </c>
      <c r="N718" t="s">
        <v>851</v>
      </c>
      <c r="O718" t="s">
        <v>450</v>
      </c>
      <c r="P718">
        <v>6907</v>
      </c>
      <c r="Q718">
        <v>4915</v>
      </c>
      <c r="R718" t="s">
        <v>65</v>
      </c>
    </row>
    <row r="719" spans="1:18" x14ac:dyDescent="0.2">
      <c r="A719" t="s">
        <v>1052</v>
      </c>
      <c r="B719" t="s">
        <v>849</v>
      </c>
      <c r="C719" t="s">
        <v>849</v>
      </c>
      <c r="D719" t="s">
        <v>52</v>
      </c>
      <c r="E719" t="str">
        <f>"C29R2is"</f>
        <v>C29R2is</v>
      </c>
      <c r="F719" t="s">
        <v>67</v>
      </c>
      <c r="G719" t="s">
        <v>68</v>
      </c>
      <c r="H719" s="1">
        <v>22984.54</v>
      </c>
      <c r="I719" t="s">
        <v>296</v>
      </c>
      <c r="J719">
        <v>1189</v>
      </c>
      <c r="K719">
        <v>23062</v>
      </c>
      <c r="L719">
        <v>36246</v>
      </c>
      <c r="M719" t="s">
        <v>850</v>
      </c>
      <c r="N719" t="s">
        <v>851</v>
      </c>
      <c r="O719" t="s">
        <v>450</v>
      </c>
      <c r="P719">
        <v>6907</v>
      </c>
      <c r="Q719">
        <v>4915</v>
      </c>
      <c r="R719" t="s">
        <v>65</v>
      </c>
    </row>
    <row r="720" spans="1:18" x14ac:dyDescent="0.2">
      <c r="A720" t="s">
        <v>1053</v>
      </c>
      <c r="B720" t="s">
        <v>849</v>
      </c>
      <c r="C720" t="s">
        <v>849</v>
      </c>
      <c r="D720" t="s">
        <v>52</v>
      </c>
      <c r="E720" t="str">
        <f>"C29R3g"</f>
        <v>C29R3g</v>
      </c>
      <c r="F720" t="s">
        <v>71</v>
      </c>
      <c r="G720" t="s">
        <v>72</v>
      </c>
      <c r="H720" s="1">
        <v>137789.32</v>
      </c>
      <c r="I720" t="s">
        <v>298</v>
      </c>
      <c r="J720">
        <v>1263</v>
      </c>
      <c r="K720" t="s">
        <v>1054</v>
      </c>
      <c r="L720" t="s">
        <v>1055</v>
      </c>
      <c r="M720" t="s">
        <v>850</v>
      </c>
      <c r="N720" t="s">
        <v>851</v>
      </c>
      <c r="O720" t="s">
        <v>450</v>
      </c>
      <c r="P720">
        <v>6907</v>
      </c>
      <c r="Q720">
        <v>4915</v>
      </c>
      <c r="R720" t="s">
        <v>65</v>
      </c>
    </row>
    <row r="721" spans="1:18" x14ac:dyDescent="0.2">
      <c r="A721" t="s">
        <v>1056</v>
      </c>
      <c r="B721" t="s">
        <v>849</v>
      </c>
      <c r="C721" t="s">
        <v>849</v>
      </c>
      <c r="D721" t="s">
        <v>52</v>
      </c>
      <c r="E721" t="str">
        <f>"C29R4g"</f>
        <v>C29R4g</v>
      </c>
      <c r="F721" t="s">
        <v>71</v>
      </c>
      <c r="G721" t="s">
        <v>72</v>
      </c>
      <c r="H721" s="1">
        <v>140702.69</v>
      </c>
      <c r="I721" t="s">
        <v>298</v>
      </c>
      <c r="J721">
        <v>899</v>
      </c>
      <c r="K721" t="s">
        <v>1057</v>
      </c>
      <c r="L721" t="s">
        <v>1058</v>
      </c>
      <c r="M721" t="s">
        <v>850</v>
      </c>
      <c r="N721" t="s">
        <v>851</v>
      </c>
      <c r="O721" t="s">
        <v>450</v>
      </c>
      <c r="P721">
        <v>6907</v>
      </c>
      <c r="Q721">
        <v>4915</v>
      </c>
      <c r="R721" t="s">
        <v>65</v>
      </c>
    </row>
    <row r="722" spans="1:18" x14ac:dyDescent="0.2">
      <c r="A722" t="s">
        <v>1059</v>
      </c>
      <c r="B722" t="s">
        <v>849</v>
      </c>
      <c r="C722" t="s">
        <v>849</v>
      </c>
      <c r="D722" t="s">
        <v>52</v>
      </c>
      <c r="E722" t="str">
        <f>"C30R1is"</f>
        <v>C30R1is</v>
      </c>
      <c r="F722" t="s">
        <v>57</v>
      </c>
      <c r="G722" t="s">
        <v>58</v>
      </c>
      <c r="H722" s="1">
        <v>27430.19</v>
      </c>
      <c r="I722" t="s">
        <v>291</v>
      </c>
      <c r="J722">
        <v>282</v>
      </c>
      <c r="K722">
        <v>20922</v>
      </c>
      <c r="L722">
        <v>28744</v>
      </c>
      <c r="M722" t="s">
        <v>850</v>
      </c>
      <c r="N722" t="s">
        <v>851</v>
      </c>
      <c r="O722" t="s">
        <v>450</v>
      </c>
      <c r="P722">
        <v>6907</v>
      </c>
      <c r="Q722">
        <v>4915</v>
      </c>
      <c r="R722" t="s">
        <v>65</v>
      </c>
    </row>
    <row r="723" spans="1:18" x14ac:dyDescent="0.2">
      <c r="A723" t="s">
        <v>1060</v>
      </c>
      <c r="B723" t="s">
        <v>849</v>
      </c>
      <c r="C723" t="s">
        <v>849</v>
      </c>
      <c r="D723" t="s">
        <v>52</v>
      </c>
      <c r="E723" t="str">
        <f>"C30R1is"</f>
        <v>C30R1is</v>
      </c>
      <c r="F723" t="s">
        <v>67</v>
      </c>
      <c r="G723" t="s">
        <v>68</v>
      </c>
      <c r="H723" s="1">
        <v>20058.05</v>
      </c>
      <c r="I723" t="s">
        <v>296</v>
      </c>
      <c r="J723">
        <v>901</v>
      </c>
      <c r="K723">
        <v>20922</v>
      </c>
      <c r="L723">
        <v>28744</v>
      </c>
      <c r="M723" t="s">
        <v>850</v>
      </c>
      <c r="N723" t="s">
        <v>851</v>
      </c>
      <c r="O723" t="s">
        <v>450</v>
      </c>
      <c r="P723">
        <v>6907</v>
      </c>
      <c r="Q723">
        <v>4915</v>
      </c>
      <c r="R723" t="s">
        <v>65</v>
      </c>
    </row>
    <row r="724" spans="1:18" x14ac:dyDescent="0.2">
      <c r="A724" t="s">
        <v>1061</v>
      </c>
      <c r="B724" t="s">
        <v>849</v>
      </c>
      <c r="C724" t="s">
        <v>849</v>
      </c>
      <c r="D724" t="s">
        <v>52</v>
      </c>
      <c r="E724" t="str">
        <f>"C30R2g"</f>
        <v>C30R2g</v>
      </c>
      <c r="F724" t="s">
        <v>71</v>
      </c>
      <c r="G724" t="s">
        <v>72</v>
      </c>
      <c r="H724" s="1">
        <v>82017.289999999994</v>
      </c>
      <c r="I724" t="s">
        <v>298</v>
      </c>
      <c r="J724">
        <v>762</v>
      </c>
      <c r="K724">
        <v>22152</v>
      </c>
      <c r="L724">
        <v>28337</v>
      </c>
      <c r="M724" t="s">
        <v>850</v>
      </c>
      <c r="N724" t="s">
        <v>851</v>
      </c>
      <c r="O724" t="s">
        <v>450</v>
      </c>
      <c r="P724">
        <v>6907</v>
      </c>
      <c r="Q724">
        <v>4915</v>
      </c>
      <c r="R724" t="s">
        <v>65</v>
      </c>
    </row>
    <row r="725" spans="1:18" x14ac:dyDescent="0.2">
      <c r="A725" t="s">
        <v>1062</v>
      </c>
      <c r="B725" t="s">
        <v>849</v>
      </c>
      <c r="C725" t="s">
        <v>849</v>
      </c>
      <c r="D725" t="s">
        <v>52</v>
      </c>
      <c r="E725" t="str">
        <f>"C31R1is"</f>
        <v>C31R1is</v>
      </c>
      <c r="F725" t="s">
        <v>57</v>
      </c>
      <c r="G725" t="s">
        <v>58</v>
      </c>
      <c r="H725" s="1">
        <v>56570.73</v>
      </c>
      <c r="I725" t="s">
        <v>291</v>
      </c>
      <c r="J725">
        <v>473</v>
      </c>
      <c r="K725" t="s">
        <v>1063</v>
      </c>
      <c r="L725" t="s">
        <v>1064</v>
      </c>
      <c r="M725" t="s">
        <v>850</v>
      </c>
      <c r="N725" t="s">
        <v>851</v>
      </c>
      <c r="O725" t="s">
        <v>450</v>
      </c>
      <c r="P725">
        <v>6907</v>
      </c>
      <c r="Q725">
        <v>4915</v>
      </c>
      <c r="R725" t="s">
        <v>65</v>
      </c>
    </row>
    <row r="726" spans="1:18" x14ac:dyDescent="0.2">
      <c r="A726" t="s">
        <v>1065</v>
      </c>
      <c r="B726" t="s">
        <v>849</v>
      </c>
      <c r="C726" t="s">
        <v>849</v>
      </c>
      <c r="D726" t="s">
        <v>52</v>
      </c>
      <c r="E726" t="str">
        <f>"C31R1is"</f>
        <v>C31R1is</v>
      </c>
      <c r="F726" t="s">
        <v>67</v>
      </c>
      <c r="G726" t="s">
        <v>68</v>
      </c>
      <c r="H726" s="1">
        <v>11881.78</v>
      </c>
      <c r="I726" t="s">
        <v>296</v>
      </c>
      <c r="J726">
        <v>395</v>
      </c>
      <c r="K726" t="s">
        <v>1063</v>
      </c>
      <c r="L726" t="s">
        <v>1064</v>
      </c>
      <c r="M726" t="s">
        <v>850</v>
      </c>
      <c r="N726" t="s">
        <v>851</v>
      </c>
      <c r="O726" t="s">
        <v>450</v>
      </c>
      <c r="P726">
        <v>6907</v>
      </c>
      <c r="Q726">
        <v>4915</v>
      </c>
      <c r="R726" t="s">
        <v>65</v>
      </c>
    </row>
    <row r="727" spans="1:18" x14ac:dyDescent="0.2">
      <c r="A727" t="s">
        <v>1066</v>
      </c>
      <c r="B727" t="s">
        <v>849</v>
      </c>
      <c r="C727" t="s">
        <v>849</v>
      </c>
      <c r="D727" t="s">
        <v>52</v>
      </c>
      <c r="E727" t="str">
        <f>"C31R2is"</f>
        <v>C31R2is</v>
      </c>
      <c r="F727" t="s">
        <v>57</v>
      </c>
      <c r="G727" t="s">
        <v>58</v>
      </c>
      <c r="H727" s="1">
        <v>48470.46</v>
      </c>
      <c r="I727" t="s">
        <v>291</v>
      </c>
      <c r="J727">
        <v>465</v>
      </c>
      <c r="K727" t="s">
        <v>1067</v>
      </c>
      <c r="L727" t="s">
        <v>1068</v>
      </c>
      <c r="M727" t="s">
        <v>850</v>
      </c>
      <c r="N727" t="s">
        <v>851</v>
      </c>
      <c r="O727" t="s">
        <v>450</v>
      </c>
      <c r="P727">
        <v>6907</v>
      </c>
      <c r="Q727">
        <v>4915</v>
      </c>
      <c r="R727" t="s">
        <v>65</v>
      </c>
    </row>
    <row r="728" spans="1:18" x14ac:dyDescent="0.2">
      <c r="A728" t="s">
        <v>1069</v>
      </c>
      <c r="B728" t="s">
        <v>849</v>
      </c>
      <c r="C728" t="s">
        <v>849</v>
      </c>
      <c r="D728" t="s">
        <v>52</v>
      </c>
      <c r="E728" t="str">
        <f>"C31R2is"</f>
        <v>C31R2is</v>
      </c>
      <c r="F728" t="s">
        <v>67</v>
      </c>
      <c r="G728" t="s">
        <v>68</v>
      </c>
      <c r="H728" s="1">
        <v>11886.74</v>
      </c>
      <c r="I728" t="s">
        <v>296</v>
      </c>
      <c r="J728">
        <v>496</v>
      </c>
      <c r="K728" t="s">
        <v>1067</v>
      </c>
      <c r="L728" t="s">
        <v>1068</v>
      </c>
      <c r="M728" t="s">
        <v>850</v>
      </c>
      <c r="N728" t="s">
        <v>851</v>
      </c>
      <c r="O728" t="s">
        <v>450</v>
      </c>
      <c r="P728">
        <v>6907</v>
      </c>
      <c r="Q728">
        <v>4915</v>
      </c>
      <c r="R728" t="s">
        <v>65</v>
      </c>
    </row>
    <row r="729" spans="1:18" x14ac:dyDescent="0.2">
      <c r="A729" t="s">
        <v>1070</v>
      </c>
      <c r="B729" t="s">
        <v>849</v>
      </c>
      <c r="C729" t="s">
        <v>849</v>
      </c>
      <c r="D729" t="s">
        <v>52</v>
      </c>
      <c r="E729" t="str">
        <f>"C31R3g"</f>
        <v>C31R3g</v>
      </c>
      <c r="F729" t="s">
        <v>71</v>
      </c>
      <c r="G729" t="s">
        <v>72</v>
      </c>
      <c r="H729" s="1">
        <v>275019.14</v>
      </c>
      <c r="I729" t="s">
        <v>298</v>
      </c>
      <c r="J729">
        <v>958</v>
      </c>
      <c r="K729" t="s">
        <v>1071</v>
      </c>
      <c r="L729" t="s">
        <v>1072</v>
      </c>
      <c r="M729" t="s">
        <v>850</v>
      </c>
      <c r="N729" t="s">
        <v>851</v>
      </c>
      <c r="O729" t="s">
        <v>450</v>
      </c>
      <c r="P729">
        <v>6907</v>
      </c>
      <c r="Q729">
        <v>4915</v>
      </c>
      <c r="R729" t="s">
        <v>65</v>
      </c>
    </row>
    <row r="730" spans="1:18" x14ac:dyDescent="0.2">
      <c r="A730" t="s">
        <v>1073</v>
      </c>
      <c r="B730" t="s">
        <v>849</v>
      </c>
      <c r="C730" t="s">
        <v>849</v>
      </c>
      <c r="D730" t="s">
        <v>52</v>
      </c>
      <c r="E730" t="str">
        <f>"C31R4g"</f>
        <v>C31R4g</v>
      </c>
      <c r="F730" t="s">
        <v>71</v>
      </c>
      <c r="G730" t="s">
        <v>72</v>
      </c>
      <c r="H730" s="1">
        <v>249562.18</v>
      </c>
      <c r="I730" t="s">
        <v>298</v>
      </c>
      <c r="J730">
        <v>1020</v>
      </c>
      <c r="K730" t="s">
        <v>1074</v>
      </c>
      <c r="L730" t="s">
        <v>1075</v>
      </c>
      <c r="M730" t="s">
        <v>850</v>
      </c>
      <c r="N730" t="s">
        <v>851</v>
      </c>
      <c r="O730" t="s">
        <v>450</v>
      </c>
      <c r="P730">
        <v>6907</v>
      </c>
      <c r="Q730">
        <v>4915</v>
      </c>
      <c r="R730" t="s">
        <v>65</v>
      </c>
    </row>
    <row r="731" spans="1:18" x14ac:dyDescent="0.2">
      <c r="A731" t="s">
        <v>1076</v>
      </c>
      <c r="B731" t="s">
        <v>849</v>
      </c>
      <c r="C731" t="s">
        <v>849</v>
      </c>
      <c r="D731" t="s">
        <v>52</v>
      </c>
      <c r="E731" t="str">
        <f>"C33R1is"</f>
        <v>C33R1is</v>
      </c>
      <c r="F731" t="s">
        <v>57</v>
      </c>
      <c r="G731" t="s">
        <v>58</v>
      </c>
      <c r="H731" s="1">
        <v>28626.16</v>
      </c>
      <c r="I731" t="s">
        <v>291</v>
      </c>
      <c r="J731">
        <v>331</v>
      </c>
      <c r="K731">
        <v>16914</v>
      </c>
      <c r="L731">
        <v>38035</v>
      </c>
      <c r="M731" t="s">
        <v>850</v>
      </c>
      <c r="N731" t="s">
        <v>851</v>
      </c>
      <c r="O731" t="s">
        <v>450</v>
      </c>
      <c r="P731">
        <v>6907</v>
      </c>
      <c r="Q731">
        <v>4915</v>
      </c>
      <c r="R731" t="s">
        <v>65</v>
      </c>
    </row>
    <row r="732" spans="1:18" x14ac:dyDescent="0.2">
      <c r="A732" t="s">
        <v>1077</v>
      </c>
      <c r="B732" t="s">
        <v>849</v>
      </c>
      <c r="C732" t="s">
        <v>849</v>
      </c>
      <c r="D732" t="s">
        <v>52</v>
      </c>
      <c r="E732" t="str">
        <f>"C33R1is"</f>
        <v>C33R1is</v>
      </c>
      <c r="F732" t="s">
        <v>67</v>
      </c>
      <c r="G732" t="s">
        <v>68</v>
      </c>
      <c r="H732" s="1">
        <v>9092.89</v>
      </c>
      <c r="I732" t="s">
        <v>296</v>
      </c>
      <c r="J732">
        <v>335</v>
      </c>
      <c r="K732">
        <v>16914</v>
      </c>
      <c r="L732">
        <v>38035</v>
      </c>
      <c r="M732" t="s">
        <v>850</v>
      </c>
      <c r="N732" t="s">
        <v>851</v>
      </c>
      <c r="O732" t="s">
        <v>450</v>
      </c>
      <c r="P732">
        <v>6907</v>
      </c>
      <c r="Q732">
        <v>4915</v>
      </c>
      <c r="R732" t="s">
        <v>65</v>
      </c>
    </row>
    <row r="733" spans="1:18" x14ac:dyDescent="0.2">
      <c r="A733" t="s">
        <v>1078</v>
      </c>
      <c r="B733" t="s">
        <v>849</v>
      </c>
      <c r="C733" t="s">
        <v>849</v>
      </c>
      <c r="D733" t="s">
        <v>52</v>
      </c>
      <c r="E733" t="str">
        <f>"C33R2ig"</f>
        <v>C33R2ig</v>
      </c>
      <c r="F733" t="s">
        <v>57</v>
      </c>
      <c r="G733" t="s">
        <v>58</v>
      </c>
      <c r="H733" s="1">
        <v>15447.29</v>
      </c>
      <c r="I733" t="s">
        <v>363</v>
      </c>
      <c r="J733">
        <v>116</v>
      </c>
      <c r="K733">
        <v>15780</v>
      </c>
      <c r="L733">
        <v>38382</v>
      </c>
      <c r="M733" t="s">
        <v>850</v>
      </c>
      <c r="N733" t="s">
        <v>851</v>
      </c>
      <c r="O733" t="s">
        <v>450</v>
      </c>
      <c r="P733">
        <v>6907</v>
      </c>
      <c r="Q733">
        <v>4915</v>
      </c>
      <c r="R733" t="s">
        <v>65</v>
      </c>
    </row>
    <row r="734" spans="1:18" x14ac:dyDescent="0.2">
      <c r="A734" t="s">
        <v>1079</v>
      </c>
      <c r="B734" t="s">
        <v>849</v>
      </c>
      <c r="C734" t="s">
        <v>849</v>
      </c>
      <c r="D734" t="s">
        <v>52</v>
      </c>
      <c r="E734" t="str">
        <f>"C33R2ig"</f>
        <v>C33R2ig</v>
      </c>
      <c r="F734" t="s">
        <v>71</v>
      </c>
      <c r="G734" t="s">
        <v>72</v>
      </c>
      <c r="H734" s="1">
        <v>127651.66</v>
      </c>
      <c r="I734" t="s">
        <v>298</v>
      </c>
      <c r="J734">
        <v>563</v>
      </c>
      <c r="K734">
        <v>15780</v>
      </c>
      <c r="L734">
        <v>38382</v>
      </c>
      <c r="M734" t="s">
        <v>850</v>
      </c>
      <c r="N734" t="s">
        <v>851</v>
      </c>
      <c r="O734" t="s">
        <v>450</v>
      </c>
      <c r="P734">
        <v>6907</v>
      </c>
      <c r="Q734">
        <v>4915</v>
      </c>
      <c r="R734" t="s">
        <v>65</v>
      </c>
    </row>
    <row r="735" spans="1:18" x14ac:dyDescent="0.2">
      <c r="A735" t="s">
        <v>1080</v>
      </c>
      <c r="B735" t="s">
        <v>849</v>
      </c>
      <c r="C735" t="s">
        <v>849</v>
      </c>
      <c r="D735" t="s">
        <v>52</v>
      </c>
      <c r="E735" t="str">
        <f>"C34R1is"</f>
        <v>C34R1is</v>
      </c>
      <c r="F735" t="s">
        <v>57</v>
      </c>
      <c r="G735" t="s">
        <v>58</v>
      </c>
      <c r="H735" s="1">
        <v>43639.86</v>
      </c>
      <c r="I735" t="s">
        <v>291</v>
      </c>
      <c r="J735">
        <v>357</v>
      </c>
      <c r="K735" t="s">
        <v>1081</v>
      </c>
      <c r="L735" t="s">
        <v>1082</v>
      </c>
      <c r="M735" t="s">
        <v>850</v>
      </c>
      <c r="N735" t="s">
        <v>851</v>
      </c>
      <c r="O735" t="s">
        <v>450</v>
      </c>
      <c r="P735">
        <v>6907</v>
      </c>
      <c r="Q735">
        <v>4915</v>
      </c>
      <c r="R735" t="s">
        <v>65</v>
      </c>
    </row>
    <row r="736" spans="1:18" x14ac:dyDescent="0.2">
      <c r="A736" t="s">
        <v>1083</v>
      </c>
      <c r="B736" t="s">
        <v>849</v>
      </c>
      <c r="C736" t="s">
        <v>849</v>
      </c>
      <c r="D736" t="s">
        <v>52</v>
      </c>
      <c r="E736" t="str">
        <f>"C34R1is"</f>
        <v>C34R1is</v>
      </c>
      <c r="F736" t="s">
        <v>67</v>
      </c>
      <c r="G736" t="s">
        <v>68</v>
      </c>
      <c r="H736" s="1">
        <v>11166.44</v>
      </c>
      <c r="I736" t="s">
        <v>296</v>
      </c>
      <c r="J736">
        <v>306</v>
      </c>
      <c r="K736" t="s">
        <v>1081</v>
      </c>
      <c r="L736" t="s">
        <v>1082</v>
      </c>
      <c r="M736" t="s">
        <v>850</v>
      </c>
      <c r="N736" t="s">
        <v>851</v>
      </c>
      <c r="O736" t="s">
        <v>450</v>
      </c>
      <c r="P736">
        <v>6907</v>
      </c>
      <c r="Q736">
        <v>4915</v>
      </c>
      <c r="R736" t="s">
        <v>65</v>
      </c>
    </row>
    <row r="737" spans="1:18" x14ac:dyDescent="0.2">
      <c r="A737" t="s">
        <v>1084</v>
      </c>
      <c r="B737" t="s">
        <v>849</v>
      </c>
      <c r="C737" t="s">
        <v>849</v>
      </c>
      <c r="D737" t="s">
        <v>52</v>
      </c>
      <c r="E737" t="str">
        <f>"C34R2ig"</f>
        <v>C34R2ig</v>
      </c>
      <c r="F737" t="s">
        <v>57</v>
      </c>
      <c r="G737" t="s">
        <v>58</v>
      </c>
      <c r="H737" s="1">
        <v>31268.65</v>
      </c>
      <c r="I737" t="s">
        <v>363</v>
      </c>
      <c r="J737">
        <v>241</v>
      </c>
      <c r="K737" t="s">
        <v>1085</v>
      </c>
      <c r="L737" t="s">
        <v>1086</v>
      </c>
      <c r="M737" t="s">
        <v>850</v>
      </c>
      <c r="N737" t="s">
        <v>851</v>
      </c>
      <c r="O737" t="s">
        <v>450</v>
      </c>
      <c r="P737">
        <v>6907</v>
      </c>
      <c r="Q737">
        <v>4915</v>
      </c>
      <c r="R737" t="s">
        <v>65</v>
      </c>
    </row>
    <row r="738" spans="1:18" x14ac:dyDescent="0.2">
      <c r="A738" t="s">
        <v>1087</v>
      </c>
      <c r="B738" t="s">
        <v>849</v>
      </c>
      <c r="C738" t="s">
        <v>849</v>
      </c>
      <c r="D738" t="s">
        <v>52</v>
      </c>
      <c r="E738" t="str">
        <f>"C34R2ig"</f>
        <v>C34R2ig</v>
      </c>
      <c r="F738" t="s">
        <v>71</v>
      </c>
      <c r="G738" t="s">
        <v>72</v>
      </c>
      <c r="H738" s="1">
        <v>165228.31</v>
      </c>
      <c r="I738" t="s">
        <v>298</v>
      </c>
      <c r="J738">
        <v>741</v>
      </c>
      <c r="K738" t="s">
        <v>1085</v>
      </c>
      <c r="L738" t="s">
        <v>1086</v>
      </c>
      <c r="M738" t="s">
        <v>850</v>
      </c>
      <c r="N738" t="s">
        <v>851</v>
      </c>
      <c r="O738" t="s">
        <v>450</v>
      </c>
      <c r="P738">
        <v>6907</v>
      </c>
      <c r="Q738">
        <v>4915</v>
      </c>
      <c r="R738" t="s">
        <v>65</v>
      </c>
    </row>
    <row r="739" spans="1:18" x14ac:dyDescent="0.2">
      <c r="A739" t="s">
        <v>1088</v>
      </c>
      <c r="B739" t="s">
        <v>849</v>
      </c>
      <c r="C739" t="s">
        <v>849</v>
      </c>
      <c r="D739" t="s">
        <v>52</v>
      </c>
      <c r="E739" t="str">
        <f>"C35R1is"</f>
        <v>C35R1is</v>
      </c>
      <c r="F739" t="s">
        <v>57</v>
      </c>
      <c r="G739" t="s">
        <v>58</v>
      </c>
      <c r="H739" s="1">
        <v>38576.31</v>
      </c>
      <c r="I739" t="s">
        <v>291</v>
      </c>
      <c r="J739">
        <v>301</v>
      </c>
      <c r="K739">
        <v>14012</v>
      </c>
      <c r="L739">
        <v>24145</v>
      </c>
      <c r="M739" t="s">
        <v>850</v>
      </c>
      <c r="N739" t="s">
        <v>851</v>
      </c>
      <c r="O739" t="s">
        <v>450</v>
      </c>
      <c r="P739">
        <v>6907</v>
      </c>
      <c r="Q739">
        <v>4915</v>
      </c>
      <c r="R739" t="s">
        <v>65</v>
      </c>
    </row>
    <row r="740" spans="1:18" x14ac:dyDescent="0.2">
      <c r="A740" t="s">
        <v>1089</v>
      </c>
      <c r="B740" t="s">
        <v>849</v>
      </c>
      <c r="C740" t="s">
        <v>849</v>
      </c>
      <c r="D740" t="s">
        <v>52</v>
      </c>
      <c r="E740" t="str">
        <f>"C35R1is"</f>
        <v>C35R1is</v>
      </c>
      <c r="F740" t="s">
        <v>67</v>
      </c>
      <c r="G740" t="s">
        <v>68</v>
      </c>
      <c r="H740" s="1">
        <v>17190.77</v>
      </c>
      <c r="I740" t="s">
        <v>296</v>
      </c>
      <c r="J740">
        <v>521</v>
      </c>
      <c r="K740">
        <v>14012</v>
      </c>
      <c r="L740">
        <v>24145</v>
      </c>
      <c r="M740" t="s">
        <v>850</v>
      </c>
      <c r="N740" t="s">
        <v>851</v>
      </c>
      <c r="O740" t="s">
        <v>450</v>
      </c>
      <c r="P740">
        <v>6907</v>
      </c>
      <c r="Q740">
        <v>4915</v>
      </c>
      <c r="R740" t="s">
        <v>65</v>
      </c>
    </row>
    <row r="741" spans="1:18" x14ac:dyDescent="0.2">
      <c r="A741" t="s">
        <v>1090</v>
      </c>
      <c r="B741" t="s">
        <v>849</v>
      </c>
      <c r="C741" t="s">
        <v>849</v>
      </c>
      <c r="D741" t="s">
        <v>52</v>
      </c>
      <c r="E741" t="str">
        <f>"C35R2g"</f>
        <v>C35R2g</v>
      </c>
      <c r="F741" t="s">
        <v>71</v>
      </c>
      <c r="G741" t="s">
        <v>72</v>
      </c>
      <c r="H741" s="1">
        <v>215899.19</v>
      </c>
      <c r="I741" t="s">
        <v>298</v>
      </c>
      <c r="J741">
        <v>881</v>
      </c>
      <c r="K741" t="s">
        <v>1091</v>
      </c>
      <c r="L741" t="s">
        <v>1092</v>
      </c>
      <c r="M741" t="s">
        <v>850</v>
      </c>
      <c r="N741" t="s">
        <v>851</v>
      </c>
      <c r="O741" t="s">
        <v>450</v>
      </c>
      <c r="P741">
        <v>6907</v>
      </c>
      <c r="Q741">
        <v>4915</v>
      </c>
      <c r="R741" t="s">
        <v>65</v>
      </c>
    </row>
    <row r="742" spans="1:18" x14ac:dyDescent="0.2">
      <c r="A742" t="s">
        <v>1093</v>
      </c>
      <c r="B742" t="s">
        <v>849</v>
      </c>
      <c r="C742" t="s">
        <v>849</v>
      </c>
      <c r="D742" t="s">
        <v>52</v>
      </c>
      <c r="E742" t="str">
        <f>"C36R1is"</f>
        <v>C36R1is</v>
      </c>
      <c r="F742" t="s">
        <v>57</v>
      </c>
      <c r="G742" t="s">
        <v>58</v>
      </c>
      <c r="H742" s="1">
        <v>33652.43</v>
      </c>
      <c r="I742" t="s">
        <v>291</v>
      </c>
      <c r="J742">
        <v>184</v>
      </c>
      <c r="K742">
        <v>15983</v>
      </c>
      <c r="L742">
        <v>15464</v>
      </c>
      <c r="M742" t="s">
        <v>850</v>
      </c>
      <c r="N742" t="s">
        <v>851</v>
      </c>
      <c r="O742" t="s">
        <v>450</v>
      </c>
      <c r="P742">
        <v>6907</v>
      </c>
      <c r="Q742">
        <v>4915</v>
      </c>
      <c r="R742" t="s">
        <v>65</v>
      </c>
    </row>
    <row r="743" spans="1:18" x14ac:dyDescent="0.2">
      <c r="A743" t="s">
        <v>1094</v>
      </c>
      <c r="B743" t="s">
        <v>849</v>
      </c>
      <c r="C743" t="s">
        <v>849</v>
      </c>
      <c r="D743" t="s">
        <v>52</v>
      </c>
      <c r="E743" t="str">
        <f>"C36R1is"</f>
        <v>C36R1is</v>
      </c>
      <c r="F743" t="s">
        <v>67</v>
      </c>
      <c r="G743" t="s">
        <v>68</v>
      </c>
      <c r="H743" s="1">
        <v>5409.62</v>
      </c>
      <c r="I743" t="s">
        <v>296</v>
      </c>
      <c r="J743">
        <v>132</v>
      </c>
      <c r="K743">
        <v>15983</v>
      </c>
      <c r="L743">
        <v>15464</v>
      </c>
      <c r="M743" t="s">
        <v>850</v>
      </c>
      <c r="N743" t="s">
        <v>851</v>
      </c>
      <c r="O743" t="s">
        <v>450</v>
      </c>
      <c r="P743">
        <v>6907</v>
      </c>
      <c r="Q743">
        <v>4915</v>
      </c>
      <c r="R743" t="s">
        <v>65</v>
      </c>
    </row>
    <row r="744" spans="1:18" x14ac:dyDescent="0.2">
      <c r="A744" t="s">
        <v>1095</v>
      </c>
      <c r="B744" t="s">
        <v>849</v>
      </c>
      <c r="C744" t="s">
        <v>849</v>
      </c>
      <c r="D744" t="s">
        <v>52</v>
      </c>
      <c r="E744" t="str">
        <f>"C36R2ig"</f>
        <v>C36R2ig</v>
      </c>
      <c r="F744" t="s">
        <v>57</v>
      </c>
      <c r="G744" t="s">
        <v>58</v>
      </c>
      <c r="H744" s="1">
        <v>38048.32</v>
      </c>
      <c r="I744" t="s">
        <v>363</v>
      </c>
      <c r="J744">
        <v>235</v>
      </c>
      <c r="K744">
        <v>13659</v>
      </c>
      <c r="L744">
        <v>14177</v>
      </c>
      <c r="M744" t="s">
        <v>850</v>
      </c>
      <c r="N744" t="s">
        <v>851</v>
      </c>
      <c r="O744" t="s">
        <v>450</v>
      </c>
      <c r="P744">
        <v>6907</v>
      </c>
      <c r="Q744">
        <v>4915</v>
      </c>
      <c r="R744" t="s">
        <v>65</v>
      </c>
    </row>
    <row r="745" spans="1:18" x14ac:dyDescent="0.2">
      <c r="A745" t="s">
        <v>1096</v>
      </c>
      <c r="B745" t="s">
        <v>849</v>
      </c>
      <c r="C745" t="s">
        <v>849</v>
      </c>
      <c r="D745" t="s">
        <v>52</v>
      </c>
      <c r="E745" t="str">
        <f>"C36R2ig"</f>
        <v>C36R2ig</v>
      </c>
      <c r="F745" t="s">
        <v>71</v>
      </c>
      <c r="G745" t="s">
        <v>72</v>
      </c>
      <c r="H745" s="1">
        <v>171782.55</v>
      </c>
      <c r="I745" t="s">
        <v>298</v>
      </c>
      <c r="J745">
        <v>633</v>
      </c>
      <c r="K745">
        <v>13659</v>
      </c>
      <c r="L745">
        <v>14177</v>
      </c>
      <c r="M745" t="s">
        <v>850</v>
      </c>
      <c r="N745" t="s">
        <v>851</v>
      </c>
      <c r="O745" t="s">
        <v>450</v>
      </c>
      <c r="P745">
        <v>6907</v>
      </c>
      <c r="Q745">
        <v>4915</v>
      </c>
      <c r="R745" t="s">
        <v>65</v>
      </c>
    </row>
    <row r="746" spans="1:18" x14ac:dyDescent="0.2">
      <c r="A746" t="s">
        <v>1104</v>
      </c>
      <c r="H746" s="3">
        <f>SUM(H703:H745)</f>
        <v>3099353.1600000006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sampleAnno</vt:lpstr>
    </vt:vector>
  </TitlesOfParts>
  <Company>Region Hovedstaden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Blaabjerg Artzi</dc:creator>
  <cp:lastModifiedBy>Marc Nihøj Klausen</cp:lastModifiedBy>
  <dcterms:created xsi:type="dcterms:W3CDTF">2023-05-16T10:58:57Z</dcterms:created>
  <dcterms:modified xsi:type="dcterms:W3CDTF">2025-05-30T10:29:27Z</dcterms:modified>
</cp:coreProperties>
</file>